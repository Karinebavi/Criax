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 Nova" sheetId="1" state="visible" r:id="rId3"/>
  </sheets>
  <definedNames>
    <definedName function="false" hidden="false" localSheetId="0" name="product" vbProcedure="false">#REF!</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<sst xmlns="http://schemas.openxmlformats.org/spreadsheetml/2006/main" count="452" uniqueCount="217">
  <si>
    <t xml:space="preserve">ATIVIDADE FIM</t>
  </si>
  <si>
    <t xml:space="preserve">Nº</t>
  </si>
  <si>
    <t xml:space="preserve">Ações</t>
  </si>
  <si>
    <t xml:space="preserve">Quantidade</t>
  </si>
  <si>
    <t xml:space="preserve">Duração</t>
  </si>
  <si>
    <t xml:space="preserve">Fontes</t>
  </si>
  <si>
    <t xml:space="preserve">Total (R$)</t>
  </si>
  <si>
    <t xml:space="preserve">Recursos Humanos - Atividade Fim</t>
  </si>
  <si>
    <t xml:space="preserve">12 meses</t>
  </si>
  <si>
    <t xml:space="preserve">Pleito Efeito da Lei 11.438/06</t>
  </si>
  <si>
    <t xml:space="preserve">Detalhamento das Ações</t>
  </si>
  <si>
    <t xml:space="preserve">Resumo do Detalhamento</t>
  </si>
  <si>
    <t xml:space="preserve">Unidade</t>
  </si>
  <si>
    <t xml:space="preserve">Valor Unitário</t>
  </si>
  <si>
    <t xml:space="preserve">ORÇAMENTO 01</t>
  </si>
  <si>
    <t xml:space="preserve">VALOR</t>
  </si>
  <si>
    <t xml:space="preserve">ORÇAMENTO 02</t>
  </si>
  <si>
    <t xml:space="preserve">ORÇAMENTO 03</t>
  </si>
  <si>
    <t xml:space="preserve">MÉDIA</t>
  </si>
  <si>
    <t xml:space="preserve">1.1</t>
  </si>
  <si>
    <t xml:space="preserve">Gerente Geral - Profissional de nível superior responsável pela coordenação geral do projeto, acompanhamento pedagógico das atividades esportivas e educacionais, elaboração de relatórios técnicos, gestão financeira e articulação institucional com a creche e parceiros.</t>
  </si>
  <si>
    <t xml:space="preserve">Profissional responsável pela coordenação geral do projeto. MC: 1 profissional x 12 meses</t>
  </si>
  <si>
    <t xml:space="preserve">Pessoa</t>
  </si>
  <si>
    <t xml:space="preserve">Mês</t>
  </si>
  <si>
    <t xml:space="preserve">Planilha de RH do Ministério do Esporte</t>
  </si>
  <si>
    <t xml:space="preserve">1.2</t>
  </si>
  <si>
    <t xml:space="preserve">Professor de Educação Física - Profissional com formação superior em Educação Física, responsável pelo planejamento e execução das aulas de taekwondo, orientação técnica dos participantes, desenvolvimento de habilidades motoras e acompanhamento da evolução dos beneficiados.</t>
  </si>
  <si>
    <t xml:space="preserve">Profissional responsável pelo planejamento e execução das aulas de taekwondo e atividades psicomotoras. MC: 2 profissionais x 12 meses</t>
  </si>
  <si>
    <t xml:space="preserve">Item 5978 da Planilha de Referência do MESP</t>
  </si>
  <si>
    <t xml:space="preserve">1.3</t>
  </si>
  <si>
    <t xml:space="preserve">Oficineiro - Profissional responsável por auxiliar os professores na condução das atividades práticas, organização do espaço de treino, controle de frequência dos participantes, suporte na montagem e desmontagem de equipamentos e atendimento aos beneficiados.</t>
  </si>
  <si>
    <t xml:space="preserve">Responsáveis por auxiliar o professor nas atividades do projeto. MC: 2 profissionais x 12 meses</t>
  </si>
  <si>
    <t xml:space="preserve">Encargos Trabalhistas - Atividade Fim</t>
  </si>
  <si>
    <t xml:space="preserve">2.2</t>
  </si>
  <si>
    <t xml:space="preserve">Encargos Trabalhistas - Professor de Educação Física. Encargos inerentes à contratação por CLT, incluindo FGTS, INSS patronal, 13º salário, férias + 1/3, PIS, vale-transporte e demais obrigações trabalhistas.</t>
  </si>
  <si>
    <t xml:space="preserve">Encargos inerentes à contratação por CLT. MC: 67,8% sobre o salário base dos 2 professores x 12 meses</t>
  </si>
  <si>
    <t xml:space="preserve">Encargo</t>
  </si>
  <si>
    <t xml:space="preserve">Uniformes - Atividade Fim</t>
  </si>
  <si>
    <t xml:space="preserve">3.1</t>
  </si>
  <si>
    <t xml:space="preserve">Dobok de Taekwondo Homologado WTF Infantil, (Quimono, Kimono). Material: 35% algodão, 65% Poliéster. Tipo Unissex. Cor: branca com gola branca. Com logomarca WTF colorida na gola; Tamanhos: 130cm - 140cm - 150cm - 160cm - 170cm - 180cm.</t>
  </si>
  <si>
    <t xml:space="preserve">Vestuário oficial para prática de taekwondo. MC: 80 alunos x 1 unidade cada + 10 unidades de contingência = 90 unidades</t>
  </si>
  <si>
    <t xml:space="preserve">Dia</t>
  </si>
  <si>
    <t xml:space="preserve">Item 3352 da Planilha de Referência do MESP</t>
  </si>
  <si>
    <t xml:space="preserve">3.2</t>
  </si>
  <si>
    <t xml:space="preserve">Camiseta: Material: 90% poliéster e 10% elastano. Tamanho: P, M, G e GG. Dimensões aproximadas: 52 X 70 L x A. Personalizada com identidade visual do projeto por sublimação.</t>
  </si>
  <si>
    <t xml:space="preserve">Camiseta personalizada para os beneficiados e equipe do projeto. MC: 120 beneficiários x 2 unidades cada + 30 unidades de contingência = 270 unidades</t>
  </si>
  <si>
    <t xml:space="preserve">Item 2193 da Planilha de Referência do MESP</t>
  </si>
  <si>
    <t xml:space="preserve">3.3</t>
  </si>
  <si>
    <t xml:space="preserve">Faixa Colorida 4cm de largura. 100% Algodão. Compõe o uniforme, utiliza-se para indicar a hierarquia no Taekwondo. Cores: Amarelo, Azul, Verde, Vermelho, branco. Tamanhos: 280cm, 300cm.</t>
  </si>
  <si>
    <t xml:space="preserve">Faixas para troca de graduação durante o período de execução do projeto. MC: 80 alunos x 1 unidade cada + 10 de contingência = 90 unidades</t>
  </si>
  <si>
    <t xml:space="preserve">Item 3793 da Planilha de Referência do MESP</t>
  </si>
  <si>
    <t xml:space="preserve">Hospedagem/Alimentação - Atividade Fim</t>
  </si>
  <si>
    <t xml:space="preserve">4.1</t>
  </si>
  <si>
    <t xml:space="preserve">Kit Lanche individual composto por: 01 sanduíche natural, 01 fruta in natura, 01 suco de fruta (200ml), embalados individualmente. Destinado à alimentação dos beneficiados durante os dias de atividade.</t>
  </si>
  <si>
    <t xml:space="preserve">Alimentação para os beneficiados do projeto. MC: 120 beneficiados x 2 dias de aula por semana x 4,5 semanas = 1.080 lanches/mês x 12 meses</t>
  </si>
  <si>
    <t xml:space="preserve">Painel de Preços do Governo Federal</t>
  </si>
  <si>
    <t xml:space="preserve">Material de Consumo/Esportivo - Atividade Fim</t>
  </si>
  <si>
    <t xml:space="preserve">5.1</t>
  </si>
  <si>
    <t xml:space="preserve">Tatame Universal dupla face azul e vermelho em borracha de alta densidade. Chancelado pela Federação Mundial de Taekwondo. Composição: EVA (Etileno-Acetato de Vinila). Densidade: 1,6 kgf / cm3 resistência à ruptura: 19,8 kgf / cm3 Alongamento: 120% tratamento higiénico. Isolamento acústico e umidade.</t>
  </si>
  <si>
    <t xml:space="preserve">Tatame EVA dupla face para área de treino de TKD e funcional. MC: 20 placas de 1x1m</t>
  </si>
  <si>
    <t xml:space="preserve">Item 7376 da Planilha de Referência do MESP</t>
  </si>
  <si>
    <t xml:space="preserve">5.2</t>
  </si>
  <si>
    <t xml:space="preserve">Raquete dupla, equipamento de alta resistência para treinamento de chutes em formato de raquete, constituído de alça de elástico para segurança e com uma aba; fabricado em borracha de alta densidade e revestido em vinil. Cor: Preta, vermelha.</t>
  </si>
  <si>
    <t xml:space="preserve">Raquete duplo impacto para treino de chutes de TKD. MC: 6 un. uso coletivo</t>
  </si>
  <si>
    <t xml:space="preserve">Item 6509 da Planilha de Referência do MESP</t>
  </si>
  <si>
    <t xml:space="preserve">5.3</t>
  </si>
  <si>
    <t xml:space="preserve">Colete Protetor de Tórax - WTF - Fheras - Cordas: Feitos de material sintético de alta resistência e durabilidade. Enchimento de espumas. Alças e costuras reforçadas. Função: Proteção de tórax, abdómen, ombros e coluna vertebral. Disponível nos tamanhos: #1, #2. Os tamanhos #1 #2 são indicados para crianças. Cores: Dupla face nas cores azul e vermelha.</t>
  </si>
  <si>
    <t xml:space="preserve">Protetor de tórax (hogú) para sparring de TKD. MC: 8 un. uso coletivo</t>
  </si>
  <si>
    <t xml:space="preserve">Item 2702 da Planilha de Referência do MESP</t>
  </si>
  <si>
    <t xml:space="preserve">5.4</t>
  </si>
  <si>
    <t xml:space="preserve">Capacete de proteção reconhecido pela Federação Mundial de Taekwondo (Protetor de Cabeça); composto por espuma de baixa densidade e revestido por plástico não enrijecido, com elástico (presilha) abaixo do queixo. Com sistema de ventilação que favorece a troca de calor com o meio ambiente. Formato ergonômico que não desfavorece a proteção da cabeça. sendo equipamento de proteção individual obrigatório em competições. Cores: Azul e vermelho. Tam. P (52cm), M (55cm), G (57cm).</t>
  </si>
  <si>
    <t xml:space="preserve">Capacete proteção para sparring de TKD. MC: 6 un. uso coletivo (3 azul + 3 vermelho)</t>
  </si>
  <si>
    <t xml:space="preserve">Item 2310 da Planilha de Referência do MESP</t>
  </si>
  <si>
    <t xml:space="preserve">5.5</t>
  </si>
  <si>
    <t xml:space="preserve">Caneleiras Kick Boxing/Muay Thai com Peito de Pé: Fechamento em velcro. Tecnologia PPS 2, que garante maior conforto. Logo Pretorian em destaque. Contém um par de protetores. Dimensões aproximadas: Tamanho L: 17, 5x43x16 cm. (LxAxP). Tamanho XL: 26x45, 5x16, 5 cm. (LxAxP). Composição: PU de alta resistência. Peso líquido aproximado (unidade): 250 g.</t>
  </si>
  <si>
    <t xml:space="preserve">Caneleiras proteção membros inferiores TKD. MC: 8 pares uso coletivo</t>
  </si>
  <si>
    <t xml:space="preserve">Par</t>
  </si>
  <si>
    <t xml:space="preserve">Item 2235 da Planilha de Referência do MESP</t>
  </si>
  <si>
    <t xml:space="preserve">5.6</t>
  </si>
  <si>
    <t xml:space="preserve">Protetor de Antebraço - Strike: Feito de acordo com os mais altos padrões de qualidade. Linha de alto nível de bom custo/benefício. Corte e desenho inovador garantindo maior estabilidade da proteção durante a prática esportiva. Não gira facilmente e não seguro muito suor quando usada em combates. Seu novo sistema de amortecimento abafa o barulho dos chutes, evitando a marcação de pontos indecisos. Tamanho: S - Infantil - 20 cm. M - Infantil/Juvenil - 25 cm. L - Juvenil/Adulto - 27 cm. Características: Cor: Branca. Composição: Poliuretano.</t>
  </si>
  <si>
    <t xml:space="preserve">Protetor de antebraço para combates de TKD. MC: 6 pares uso coletivo</t>
  </si>
  <si>
    <t xml:space="preserve">Item 6049 da Planilha de Referência do MESP</t>
  </si>
  <si>
    <t xml:space="preserve">5.7</t>
  </si>
  <si>
    <t xml:space="preserve">Luva de proteção de boxe, constituído de velcro para fixação no punho e munhequeira de fixação de punho, Material: Poliéster, Nylon, Spandex + Espuma de EVA no interior. Tam. PP, P, M, G, GG, XGG.</t>
  </si>
  <si>
    <t xml:space="preserve">Luvas para treino de socos e defesa em TKD. MC: 8 pares uso coletivo</t>
  </si>
  <si>
    <t xml:space="preserve">Item 4655 da Planilha de Referência do MESP</t>
  </si>
  <si>
    <t xml:space="preserve">5.8</t>
  </si>
  <si>
    <t xml:space="preserve">Coquilha (Proteção genital masculina) reconhecida pela Federação Mundial de Taekwondo para prática da modalidade, constituído de elástico para fixação, fabricado de borracha-espuma e plástico rígido com interior revestido em couro sintético de cor branca, com logomarca WTF colorida sendo equipamento de proteção individual obrigatório em competições. Tam. P, M, G.</t>
  </si>
  <si>
    <t xml:space="preserve">Protetor genital para segurança nos treinos de TKD. MC: 6 un. uso coletivo</t>
  </si>
  <si>
    <t xml:space="preserve">Item 2980 da Planilha de Referência do MESP</t>
  </si>
  <si>
    <t xml:space="preserve">5.9</t>
  </si>
  <si>
    <t xml:space="preserve">Protetor bucal duplo com estojo, altura aprox. do estojo 3 cm; Largura aprox. estojo 7,5 cm; Comprimento aprox. 7,5 cm; Peso aprox. 20 g; Material etil vinil acetato molde moldável com água quente.</t>
  </si>
  <si>
    <t xml:space="preserve">Protetor bucal individual para alunos de TKD. MC: 80 un. (1 por aluno)</t>
  </si>
  <si>
    <t xml:space="preserve">Item 6037 da Planilha de Referência do MESP</t>
  </si>
  <si>
    <t xml:space="preserve">5.10</t>
  </si>
  <si>
    <t xml:space="preserve">Bandagem Elástica 5,00m: Elástico, velcro nas pontas para melhor fixação no pulso. Função: Sua flexibilidade confere maior conforto e segurança para a prática de boxe, muay thai entre outras. Dimensões: 5 cm X 5 m.</t>
  </si>
  <si>
    <t xml:space="preserve">Bandagem proteção mãos e punhos nos treinos. MC: 15 pares uso coletivo</t>
  </si>
  <si>
    <t xml:space="preserve">Item 689 da Planilha de Referência do MESP</t>
  </si>
  <si>
    <t xml:space="preserve">5.11</t>
  </si>
  <si>
    <t xml:space="preserve">Aparador de Chute: Feitos de couro sintético de alta resistência e durabilidade. 3 alças traseiras, sendo uma fixa e 2 reguláveis com regulagem e velcro. Costuras reforçadas, A alça de pegada além das costuras possui reforço interno anti-rasgo. A lateral é toda reforçada com fita de nylon e costurada com fio de nylon de grosso calibre. Formato côncavo anatômico. Possui Logo Toriuk silkada na parte frontal. Possui placas internas para absorção dos impactos e espumas de amortecimento na frente e atrás do produto. Isso propicia melhor absorção sem causar lesões aos braços, cotovelos e ombros de quem segura o aparador. Peso: 390 gramas. Dimensões: 38 x 21 x 9 cm.</t>
  </si>
  <si>
    <t xml:space="preserve">Aparador de chutes para treino de precisão e potência. MC: 5 pares uso coletivo</t>
  </si>
  <si>
    <t xml:space="preserve">Item 262 da Planilha de Referência do MESP</t>
  </si>
  <si>
    <t xml:space="preserve">5.12</t>
  </si>
  <si>
    <t xml:space="preserve">Colchonete EVA para ginástica, dimensões: 90.00 x 1.00 x 40.00 cm.</t>
  </si>
  <si>
    <t xml:space="preserve">Colchonete para alongamento e exercícios funcionais. MC: 10 un.</t>
  </si>
  <si>
    <t xml:space="preserve">Item 2649 da Planilha de Referência do MESP</t>
  </si>
  <si>
    <t xml:space="preserve">5.13</t>
  </si>
  <si>
    <t xml:space="preserve">Cone demarcatório flexível de 50 cm para treino, com corpo vazado para torná-lo mais flexível, resistente e proporcionar a passagem do ar.</t>
  </si>
  <si>
    <t xml:space="preserve">Cones 50cm para circuitos e estações de treino funcional. MC: 20 un.</t>
  </si>
  <si>
    <t xml:space="preserve">Item 2783 da Planilha de Referência do MESP</t>
  </si>
  <si>
    <t xml:space="preserve">5.14</t>
  </si>
  <si>
    <t xml:space="preserve">Cone demarcatório (disco/chapéu chinês) - 6,5cm de altura e 19,5cm de diâmetro. Material plástico flexível.</t>
  </si>
  <si>
    <t xml:space="preserve">Chapéu chinês para exercícios de agilidade e demarcação. MC: 10 un.</t>
  </si>
  <si>
    <t xml:space="preserve">Item 2780 da Planilha de Referência do MESP</t>
  </si>
  <si>
    <t xml:space="preserve">5.15</t>
  </si>
  <si>
    <t xml:space="preserve">Corda com cabo de madeira, tipo sisal (8mm), tamanho aproximado 2/2,5 m.</t>
  </si>
  <si>
    <t xml:space="preserve">Corda individual para pular corda e aquecimento. MC: 10 un.</t>
  </si>
  <si>
    <t xml:space="preserve">Item 2993 da Planilha de Referência do MESP</t>
  </si>
  <si>
    <t xml:space="preserve">5.16</t>
  </si>
  <si>
    <t xml:space="preserve">Corda naval para exercícios  corda naval para exercícios. feita em sisal; pode ser usada em diversos exercícios de força, resistência e potência; também utilizada em circuito de treinamento; produto vendido por metro - selecione a quantidade de metros no carrinho ao finalizar o pedido. diâmetro: 50mm.</t>
  </si>
  <si>
    <t xml:space="preserve">Corda naval (battle rope) para estações de força e resistência. MC: 2 un.</t>
  </si>
  <si>
    <t xml:space="preserve">Item 3002 da Planilha de Referência do MESP</t>
  </si>
  <si>
    <t xml:space="preserve">5.17</t>
  </si>
  <si>
    <t xml:space="preserve">Corda Elástica para Prática Esportiva. Diâmetro Aproximado: 8mm; Peso Liq. Aproximado: 200g; Comprimento: 8,5 metros.</t>
  </si>
  <si>
    <t xml:space="preserve">Corda elástica para coordenação e condicionamento. MC: 10 un.</t>
  </si>
  <si>
    <t xml:space="preserve">Item 3000 da Planilha de Referência do MESP</t>
  </si>
  <si>
    <t xml:space="preserve">5.18</t>
  </si>
  <si>
    <t xml:space="preserve">Escada de coordenação de 9 espaços; A Prova dágua; Trava que facilite o recolhimento e a montagem da escada; Fabricada em tecido sintético de nylon flexível e rebites de alumínio; Com bolsa de transporte. Comprimentos: 4,20m; Largura: 0,5m; Largura da Fita: 3,5cm; Espaços: 9.</t>
  </si>
  <si>
    <t xml:space="preserve">Escada de coordenação para treino de agilidade e velocidade. MC: 2 un.</t>
  </si>
  <si>
    <t xml:space="preserve">Item 3601 da Planilha de Referência do MESP</t>
  </si>
  <si>
    <t xml:space="preserve">5.19</t>
  </si>
  <si>
    <t xml:space="preserve">Faixa elástica (theraband) suave. Em borracha e apresentam 8 níveis de elasticidade. Medidas 1metro de comprimento x 14cm de largura.</t>
  </si>
  <si>
    <t xml:space="preserve">Faixa elástica para exercícios de resistência e fortalecimento. MC: 10 un.</t>
  </si>
  <si>
    <t xml:space="preserve">Item 3797 da Planilha de Referência do MESP</t>
  </si>
  <si>
    <t xml:space="preserve">5.20</t>
  </si>
  <si>
    <t xml:space="preserve">Disco de Equilíbrio - confeccionado em Plastico ABS, Cor Preta, suporta até 100 kg, diametro de 39,5 cm.</t>
  </si>
  <si>
    <t xml:space="preserve">Disco de equilíbrio para propriocepção e core. MC: 4 un.</t>
  </si>
  <si>
    <t xml:space="preserve">Item 3252 da Planilha de Referência do MESP</t>
  </si>
  <si>
    <t xml:space="preserve">5.21</t>
  </si>
  <si>
    <t xml:space="preserve">Halter com extremidade hexagonal 1kg de ferro pintado.</t>
  </si>
  <si>
    <t xml:space="preserve">Halter 1kg para fortalecimento muscular leve. MC: 10 pares</t>
  </si>
  <si>
    <t xml:space="preserve">Item 4049 da Planilha de Referência do MESP</t>
  </si>
  <si>
    <t xml:space="preserve">5.22</t>
  </si>
  <si>
    <t xml:space="preserve">Halter com extremidade hexagonal 2kg de ferro pintado.</t>
  </si>
  <si>
    <t xml:space="preserve">Halter 2kg para fortalecimento muscular. MC: 6 pares</t>
  </si>
  <si>
    <t xml:space="preserve">Item 4050 da Planilha de Referência do MESP</t>
  </si>
  <si>
    <t xml:space="preserve">5.23</t>
  </si>
  <si>
    <t xml:space="preserve">Halter com extremidade hexagonal 3kg de ferro pintado.</t>
  </si>
  <si>
    <t xml:space="preserve">Halter 3kg para fortalecimento muscular. MC: 4 pares</t>
  </si>
  <si>
    <t xml:space="preserve">Item 4051 da Planilha de Referência do MESP</t>
  </si>
  <si>
    <t xml:space="preserve">5.24</t>
  </si>
  <si>
    <t xml:space="preserve">Mini cama elástica com diâmetro de aproximadamente 95cm e capacidade de até 100 kg.</t>
  </si>
  <si>
    <t xml:space="preserve">Mini cama elástica para estações de cardio e coordenação. MC: 2 un.</t>
  </si>
  <si>
    <t xml:space="preserve">Item 5071 da Planilha de Referência do MESP</t>
  </si>
  <si>
    <t xml:space="preserve">5.25</t>
  </si>
  <si>
    <t xml:space="preserve">Rolo de espuma rígida (foam roller). Composição. Polipropileno expandido 100% reciclável. Dimensões 30 x 15 cm. Peso 250g.</t>
  </si>
  <si>
    <t xml:space="preserve">Foam roller para liberação miofascial e recuperação. MC: 4 un.</t>
  </si>
  <si>
    <t xml:space="preserve">Item 6760 da Planilha de Referência do MESP</t>
  </si>
  <si>
    <t xml:space="preserve">5.26</t>
  </si>
  <si>
    <t xml:space="preserve">Paraquedas de treinamento para corrida; estofado e reforçado; em nylon; com cinto para fixação à cintura acolchoado; tam.: pequeno.</t>
  </si>
  <si>
    <t xml:space="preserve">Paraquedas de corrida para treino de explosão e velocidade. MC: 2 un.</t>
  </si>
  <si>
    <t xml:space="preserve">Item 5377 da Planilha de Referência do MESP</t>
  </si>
  <si>
    <t xml:space="preserve">5.27</t>
  </si>
  <si>
    <t xml:space="preserve">Arco de plástico (Bambolê); material: plástico PVC, com 63 cm de diâmetro. Cores diversas.</t>
  </si>
  <si>
    <t xml:space="preserve">Bambolê para atividades lúdicas e psicomotoras. MC: 10 un.</t>
  </si>
  <si>
    <t xml:space="preserve">Item 494 da Planilha de Referência do MESP</t>
  </si>
  <si>
    <t xml:space="preserve">5.28</t>
  </si>
  <si>
    <t xml:space="preserve">Bola de Borracha - Número 08</t>
  </si>
  <si>
    <t xml:space="preserve">Bola de borracha para atividades lúdicas e recreativas. MC: 6 un.</t>
  </si>
  <si>
    <t xml:space="preserve">Item 1115 da Planilha de Referência do MESP</t>
  </si>
  <si>
    <t xml:space="preserve">5.29</t>
  </si>
  <si>
    <t xml:space="preserve">Apito com aviso muito alto, de 108 decibéis, Fabricado em plástico não tóxico.</t>
  </si>
  <si>
    <t xml:space="preserve">Apito para controle das atividades e gestão do tempo. MC: 4 un.</t>
  </si>
  <si>
    <t xml:space="preserve">Item 473 da Planilha de Referência do MESP</t>
  </si>
  <si>
    <t xml:space="preserve">5.30</t>
  </si>
  <si>
    <t xml:space="preserve">Cronômetro MJ-1063: Com este cronômetro, ficou muito mais fácil e prático fazer contagem de tempo, seja em caminhadas, competições ou qualquer outra situação que requeira algum tipo de cronometragem. Super funcional, tem um cordão para pendurar no pescoço, no braço etc. Possui várias funções além da contagem progressiva de tempo dentre as quais a marcação de dia, mês e ano, alarme e relógio. Especificações Técnicas: Medidas: 7,5cm x 5cm x 2cm, Cronometra progressivamente (Horas / minutos / segundos / milésimos), Possui alarme, relógio e calendário, Marca dia, mês e ano.</t>
  </si>
  <si>
    <t xml:space="preserve">Cronômetro para controle de tempo nas estações funcionais. MC: 2 un.</t>
  </si>
  <si>
    <t xml:space="preserve">Item 3080 da Planilha de Referência do MESP</t>
  </si>
  <si>
    <t xml:space="preserve">5.31</t>
  </si>
  <si>
    <t xml:space="preserve">Squeeze (garrafa para água), em alumínio com capacidade para 500ml.</t>
  </si>
  <si>
    <t xml:space="preserve">Squeeze para hidratação dos beneficiados. MC: 20 un.</t>
  </si>
  <si>
    <t xml:space="preserve">Item 7124 da Planilha de Referência do MESP</t>
  </si>
  <si>
    <t xml:space="preserve">5.32</t>
  </si>
  <si>
    <t xml:space="preserve">Kit de primeiros socorros contendo: maleta rígida, luvas descartáveis, gaze, esparadrapo, ataduras, soro fisiológico, tesoura, pinça, algodão, band-aid, termômetro, antisséptico e bolsa de gelo.</t>
  </si>
  <si>
    <t xml:space="preserve">Kit de primeiros socorros para atendimento durante as atividades. MC: 2 un.</t>
  </si>
  <si>
    <t xml:space="preserve">Pesquisa de mercado / Painel de Preços</t>
  </si>
  <si>
    <t xml:space="preserve">6</t>
  </si>
  <si>
    <t xml:space="preserve">Seguro - Atividade Fim</t>
  </si>
  <si>
    <t xml:space="preserve">6.1</t>
  </si>
  <si>
    <t xml:space="preserve">Seguro de acidentes pessoais coletivo, cobertura para acidentes durante prática esportiva, incluindo despesas médico-hospitalares e invalidez permanente.</t>
  </si>
  <si>
    <t xml:space="preserve">Seguro de acidentes pessoais para os 120 beneficiados. MC: 120 x 12 meses</t>
  </si>
  <si>
    <t xml:space="preserve">Total Despesas Atividade Fim: </t>
  </si>
  <si>
    <t xml:space="preserve">ATIVIDADE MEIO</t>
  </si>
  <si>
    <t xml:space="preserve">1</t>
  </si>
  <si>
    <t xml:space="preserve">Serviços de Terceiros - Atividade Meio</t>
  </si>
  <si>
    <t xml:space="preserve">Assessoria contábil - Profissional de nível superior, responsável pela contabilidade mensal, emissão de guias, lançamentos contábeis e fiscais, conciliação bancária.</t>
  </si>
  <si>
    <t xml:space="preserve">Contratação de serviços contábeis. MC: 1 serviço x 12 meses</t>
  </si>
  <si>
    <t xml:space="preserve">Serviço</t>
  </si>
  <si>
    <t xml:space="preserve">Item 581 da Planilha de Referência do MESP</t>
  </si>
  <si>
    <t xml:space="preserve">Contratação de Web Designer / Web Master: criação de identidade visual, desenvolvimento e atualização do site do projeto e artes para redes sociais.</t>
  </si>
  <si>
    <t xml:space="preserve">Serviço de criação da logomarca, identidade visual e site. MC: 1 serviço x 12 meses</t>
  </si>
  <si>
    <t xml:space="preserve">Item 2945 da Planilha de Referência do MESP</t>
  </si>
  <si>
    <t xml:space="preserve">Serviço de Prestação de Contas - Assessoria especializada em projetos incentivados (LIE), organização documental e entrega das prestações de contas ao MESP.</t>
  </si>
  <si>
    <t xml:space="preserve">Serviço de prestação de contas do projeto. MC: 1 serviço x 12 meses</t>
  </si>
  <si>
    <t xml:space="preserve">2</t>
  </si>
  <si>
    <t xml:space="preserve">Divulgação/Promoção - Atividade Meio</t>
  </si>
  <si>
    <t xml:space="preserve">2.1</t>
  </si>
  <si>
    <t xml:space="preserve">Banners 1,00 X 1,30m em lona vinílica com impressão digital, para divulgação do projeto, com logomarcas do projeto, patrocinadores e LIE.</t>
  </si>
  <si>
    <t xml:space="preserve">Banners para divulgação do projeto. MC: 5 unidades</t>
  </si>
  <si>
    <t xml:space="preserve">Item 729 da Planilha de Referência do MESP</t>
  </si>
  <si>
    <t xml:space="preserve">Backdrop, em lona, 4 cores, medindo 4m x 3m, com impressão de logomarcas. Painel de fundo para eventos e ações de visibilidade.</t>
  </si>
  <si>
    <t xml:space="preserve">Painel de fundo para eventos e visibilidade. MC: 1 unidade</t>
  </si>
  <si>
    <t xml:space="preserve">Item 614 da Planilha de Referência do MESP</t>
  </si>
  <si>
    <t xml:space="preserve">Total Despesas Atividade Meio: </t>
  </si>
  <si>
    <t xml:space="preserve">Total Atividade Fim + Meio</t>
  </si>
  <si>
    <t xml:space="preserve">Valor de Elaboração / Captação</t>
  </si>
  <si>
    <t xml:space="preserve">Valor Total do Projeto</t>
  </si>
</sst>
</file>

<file path=xl/styles.xml><?xml version="1.0" encoding="utf-8"?>
<styleSheet xmlns="http://schemas.openxmlformats.org/spreadsheetml/2006/main">
  <numFmts count="7">
    <numFmt numFmtId="164" formatCode="General"/>
    <numFmt numFmtId="165" formatCode="_-&quot;R$ &quot;* #,##0.00_-;&quot;-R$ &quot;* #,##0.00_-;_-&quot;R$ &quot;* \-??_-;_-@_-"/>
    <numFmt numFmtId="166" formatCode="&quot;R$ &quot;#,##0.00;[RED]&quot;-R$ &quot;#,##0.00"/>
    <numFmt numFmtId="167" formatCode="&quot;R$ &quot;#,##0.00"/>
    <numFmt numFmtId="168" formatCode="#,##0.00"/>
    <numFmt numFmtId="169" formatCode="General"/>
    <numFmt numFmtId="170" formatCode="0.00%"/>
  </numFmts>
  <fonts count="24">
    <font>
      <sz val="11"/>
      <color rgb="FF000000"/>
      <name val="Calibri"/>
      <family val="2"/>
      <charset val="1"/>
    </font>
    <font>
      <sz val="10"/>
      <name val="Arial"/>
      <family val="0"/>
    </font>
    <font>
      <sz val="10"/>
      <name val="Arial"/>
      <family val="0"/>
    </font>
    <font>
      <sz val="10"/>
      <name val="Arial"/>
      <family val="0"/>
    </font>
    <font>
      <b val="true"/>
      <sz val="20"/>
      <color rgb="FFFFFFFF"/>
      <name val="Arial"/>
      <family val="2"/>
      <charset val="1"/>
    </font>
    <font>
      <sz val="8"/>
      <color rgb="FFFFFFFF"/>
      <name val="Arial"/>
      <family val="2"/>
      <charset val="1"/>
    </font>
    <font>
      <b val="true"/>
      <sz val="9"/>
      <color rgb="FF003366"/>
      <name val="Arial"/>
      <family val="2"/>
      <charset val="1"/>
    </font>
    <font>
      <sz val="7"/>
      <color rgb="FF003366"/>
      <name val="Verdana"/>
      <family val="2"/>
      <charset val="1"/>
    </font>
    <font>
      <b val="true"/>
      <sz val="11"/>
      <color rgb="FFFFFFFF"/>
      <name val="Arial"/>
      <family val="2"/>
      <charset val="1"/>
    </font>
    <font>
      <sz val="10"/>
      <name val="Tahoma"/>
      <family val="2"/>
      <charset val="1"/>
    </font>
    <font>
      <sz val="8"/>
      <name val="Arial"/>
      <family val="0"/>
      <charset val="1"/>
    </font>
    <font>
      <sz val="8"/>
      <color rgb="FF333333"/>
      <name val="Arial"/>
      <family val="0"/>
      <charset val="1"/>
    </font>
    <font>
      <sz val="10"/>
      <color rgb="FF000000"/>
      <name val="Tahoma"/>
      <family val="2"/>
      <charset val="1"/>
    </font>
    <font>
      <sz val="8"/>
      <color rgb="FF1F4E79"/>
      <name val="Arial"/>
      <family val="0"/>
      <charset val="1"/>
    </font>
    <font>
      <b val="true"/>
      <sz val="9"/>
      <name val="Arial"/>
      <family val="0"/>
      <charset val="1"/>
    </font>
    <font>
      <sz val="9"/>
      <color rgb="FF003366"/>
      <name val="Arial"/>
      <family val="2"/>
      <charset val="1"/>
    </font>
    <font>
      <sz val="9"/>
      <name val="Arial"/>
      <family val="2"/>
      <charset val="1"/>
    </font>
    <font>
      <sz val="10"/>
      <color rgb="FFFF0000"/>
      <name val="Tahoma"/>
      <family val="2"/>
      <charset val="1"/>
    </font>
    <font>
      <sz val="10"/>
      <color rgb="FF003366"/>
      <name val="Tahoma"/>
      <family val="2"/>
      <charset val="1"/>
    </font>
    <font>
      <i val="true"/>
      <sz val="8"/>
      <color rgb="FFCC0000"/>
      <name val="Arial"/>
      <family val="0"/>
      <charset val="1"/>
    </font>
    <font>
      <b val="true"/>
      <sz val="10"/>
      <name val="Arial"/>
      <family val="0"/>
      <charset val="1"/>
    </font>
    <font>
      <b val="true"/>
      <sz val="11"/>
      <name val="Arial"/>
      <family val="0"/>
      <charset val="1"/>
    </font>
    <font>
      <b val="true"/>
      <sz val="11"/>
      <color rgb="FF003366"/>
      <name val="Calibri"/>
      <family val="2"/>
      <charset val="1"/>
    </font>
    <font>
      <b val="true"/>
      <sz val="11"/>
      <color rgb="FF1F4E79"/>
      <name val="Arial"/>
      <family val="0"/>
      <charset val="1"/>
    </font>
  </fonts>
  <fills count="11">
    <fill>
      <patternFill patternType="none"/>
    </fill>
    <fill>
      <patternFill patternType="gray125"/>
    </fill>
    <fill>
      <patternFill patternType="solid">
        <fgColor rgb="FF666699"/>
        <bgColor rgb="FF808080"/>
      </patternFill>
    </fill>
    <fill>
      <patternFill patternType="solid">
        <fgColor rgb="FFFFFFFF"/>
        <bgColor rgb="FFFFFDE7"/>
      </patternFill>
    </fill>
    <fill>
      <patternFill patternType="solid">
        <fgColor rgb="FFC0C0C0"/>
        <bgColor rgb="FF99CCFF"/>
      </patternFill>
    </fill>
    <fill>
      <patternFill patternType="solid">
        <fgColor rgb="FF333399"/>
        <bgColor rgb="FF1F4E79"/>
      </patternFill>
    </fill>
    <fill>
      <patternFill patternType="solid">
        <fgColor rgb="FFE8F0FE"/>
        <bgColor rgb="FFE8F5E9"/>
      </patternFill>
    </fill>
    <fill>
      <patternFill patternType="solid">
        <fgColor rgb="FFE8F5E9"/>
        <bgColor rgb="FFE8F0FE"/>
      </patternFill>
    </fill>
    <fill>
      <patternFill patternType="solid">
        <fgColor rgb="FFFFF3E0"/>
        <bgColor rgb="FFFFFDE7"/>
      </patternFill>
    </fill>
    <fill>
      <patternFill patternType="solid">
        <fgColor rgb="FFFFFDE7"/>
        <bgColor rgb="FFFFF3E0"/>
      </patternFill>
    </fill>
    <fill>
      <patternFill patternType="solid">
        <fgColor rgb="FFF3E5F5"/>
        <bgColor rgb="FFE8F0FE"/>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top style="thin"/>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2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true" indent="0" shrinkToFit="false"/>
      <protection locked="true" hidden="false"/>
    </xf>
    <xf numFmtId="164" fontId="7" fillId="4" borderId="4" xfId="0" applyFont="true" applyBorder="true" applyAlignment="true" applyProtection="false">
      <alignment horizontal="center" vertical="center" textRotation="0" wrapText="true" indent="0" shrinkToFit="false"/>
      <protection locked="true" hidden="false"/>
    </xf>
    <xf numFmtId="164" fontId="8" fillId="5" borderId="4"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6" fontId="12" fillId="6" borderId="1" xfId="0" applyFont="true" applyBorder="true" applyAlignment="true" applyProtection="false">
      <alignment horizontal="center"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13" fillId="6" borderId="4" xfId="0" applyFont="tru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center" vertical="center" textRotation="0" wrapText="true" indent="0" shrinkToFit="false"/>
      <protection locked="true" hidden="false"/>
    </xf>
    <xf numFmtId="167" fontId="0" fillId="6" borderId="1" xfId="0" applyFont="false" applyBorder="true" applyAlignment="true" applyProtection="false">
      <alignment horizontal="center" vertical="center" textRotation="0" wrapText="false" indent="0" shrinkToFit="false"/>
      <protection locked="true" hidden="false"/>
    </xf>
    <xf numFmtId="165" fontId="0" fillId="6" borderId="1" xfId="0" applyFont="fals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5" fontId="0" fillId="6" borderId="1" xfId="0" applyFont="false" applyBorder="true" applyAlignment="true" applyProtection="false">
      <alignment horizontal="general" vertical="center" textRotation="0" wrapText="false" indent="0" shrinkToFit="false"/>
      <protection locked="true" hidden="false"/>
    </xf>
    <xf numFmtId="168" fontId="14"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5" fontId="15" fillId="0" borderId="5"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7" fontId="13" fillId="6" borderId="0" xfId="0" applyFont="true" applyBorder="false" applyAlignment="true" applyProtection="false">
      <alignment horizontal="center" vertical="center" textRotation="0" wrapText="true" indent="0" shrinkToFit="false"/>
      <protection locked="true" hidden="false"/>
    </xf>
    <xf numFmtId="165" fontId="0" fillId="6" borderId="0" xfId="0" applyFont="false" applyBorder="false" applyAlignment="true" applyProtection="false">
      <alignment horizontal="center" vertical="center" textRotation="0" wrapText="true" indent="0" shrinkToFit="false"/>
      <protection locked="true" hidden="false"/>
    </xf>
    <xf numFmtId="167" fontId="0" fillId="6" borderId="0" xfId="0" applyFont="false" applyBorder="false" applyAlignment="true" applyProtection="false">
      <alignment horizontal="center" vertical="center" textRotation="0" wrapText="false" indent="0" shrinkToFit="false"/>
      <protection locked="true" hidden="false"/>
    </xf>
    <xf numFmtId="165" fontId="0" fillId="6" borderId="0" xfId="0" applyFont="false" applyBorder="false" applyAlignment="true" applyProtection="false">
      <alignment horizontal="center" vertical="center" textRotation="0" wrapText="false" indent="0" shrinkToFit="false"/>
      <protection locked="true" hidden="false"/>
    </xf>
    <xf numFmtId="164" fontId="0" fillId="6" borderId="0" xfId="0" applyFont="false" applyBorder="false" applyAlignment="true" applyProtection="false">
      <alignment horizontal="center" vertical="center" textRotation="0" wrapText="false" indent="0" shrinkToFit="false"/>
      <protection locked="true" hidden="false"/>
    </xf>
    <xf numFmtId="165" fontId="0" fillId="6" borderId="0" xfId="0" applyFont="fals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0" borderId="5" xfId="0" applyFont="true" applyBorder="true" applyAlignment="true" applyProtection="false">
      <alignment horizontal="center" vertical="center" textRotation="0" wrapText="true" indent="0" shrinkToFit="false"/>
      <protection locked="true" hidden="false"/>
    </xf>
    <xf numFmtId="165" fontId="16" fillId="0" borderId="5"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5" fontId="16" fillId="3"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9" fontId="9" fillId="7" borderId="1" xfId="0" applyFont="true" applyBorder="true" applyAlignment="true" applyProtection="true">
      <alignment horizontal="center" vertical="center" textRotation="0" wrapText="false" indent="0" shrinkToFit="false"/>
      <protection locked="false" hidden="false"/>
    </xf>
    <xf numFmtId="164" fontId="9" fillId="7" borderId="1" xfId="0" applyFont="true" applyBorder="true" applyAlignment="true" applyProtection="false">
      <alignment horizontal="center" vertical="center" textRotation="0" wrapText="false" indent="0" shrinkToFit="false"/>
      <protection locked="true" hidden="false"/>
    </xf>
    <xf numFmtId="165" fontId="9" fillId="7" borderId="1" xfId="0" applyFont="true" applyBorder="true" applyAlignment="true" applyProtection="true">
      <alignment horizontal="center" vertical="center" textRotation="0" wrapText="false" indent="0" shrinkToFit="false"/>
      <protection locked="fals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8" fontId="14" fillId="7" borderId="3" xfId="0" applyFont="true" applyBorder="true" applyAlignment="true" applyProtection="true">
      <alignment horizontal="center" vertical="center" textRotation="0" wrapText="false" indent="0" shrinkToFit="false"/>
      <protection locked="false" hidden="false"/>
    </xf>
    <xf numFmtId="167" fontId="0" fillId="7" borderId="1" xfId="0" applyFont="false" applyBorder="true" applyAlignment="true" applyProtection="false">
      <alignment horizontal="center" vertical="center" textRotation="0" wrapText="false" indent="0" shrinkToFit="false"/>
      <protection locked="true" hidden="false"/>
    </xf>
    <xf numFmtId="165" fontId="0" fillId="7" borderId="1" xfId="0" applyFont="fals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center" vertical="center" textRotation="0" wrapText="false" indent="0" shrinkToFit="false"/>
      <protection locked="true" hidden="false"/>
    </xf>
    <xf numFmtId="165" fontId="0" fillId="7" borderId="1" xfId="0" applyFont="fals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center" vertical="center" textRotation="0" wrapText="true" indent="0" shrinkToFit="false"/>
      <protection locked="true" hidden="false"/>
    </xf>
    <xf numFmtId="167" fontId="0" fillId="7" borderId="3" xfId="0" applyFont="fals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9" fontId="17" fillId="8" borderId="1" xfId="0" applyFont="true" applyBorder="true" applyAlignment="true" applyProtection="false">
      <alignment horizontal="center" vertical="center" textRotation="0" wrapText="true" indent="0" shrinkToFit="false"/>
      <protection locked="true" hidden="false"/>
    </xf>
    <xf numFmtId="166" fontId="17" fillId="8" borderId="1" xfId="0" applyFont="true" applyBorder="true" applyAlignment="true" applyProtection="false">
      <alignment horizontal="center" vertical="center" textRotation="0" wrapText="true" indent="0" shrinkToFit="false"/>
      <protection locked="true" hidden="false"/>
    </xf>
    <xf numFmtId="165" fontId="17" fillId="8" borderId="1" xfId="0" applyFont="true" applyBorder="true" applyAlignment="true" applyProtection="false">
      <alignment horizontal="center" vertical="center" textRotation="0" wrapText="tru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7" fontId="13" fillId="8" borderId="1" xfId="0" applyFont="true" applyBorder="true" applyAlignment="true" applyProtection="false">
      <alignment horizontal="center" vertical="center" textRotation="0" wrapText="true" indent="0" shrinkToFit="false"/>
      <protection locked="true" hidden="false"/>
    </xf>
    <xf numFmtId="165" fontId="0" fillId="8" borderId="1" xfId="0" applyFont="false" applyBorder="true" applyAlignment="true" applyProtection="false">
      <alignment horizontal="center" vertical="center" textRotation="0" wrapText="true" indent="0" shrinkToFit="false"/>
      <protection locked="true" hidden="false"/>
    </xf>
    <xf numFmtId="167" fontId="0" fillId="8" borderId="1" xfId="0" applyFont="false" applyBorder="true" applyAlignment="true" applyProtection="false">
      <alignment horizontal="center" vertical="center" textRotation="0" wrapText="false" indent="0" shrinkToFit="false"/>
      <protection locked="true" hidden="false"/>
    </xf>
    <xf numFmtId="165" fontId="0" fillId="8" borderId="1" xfId="0" applyFont="fals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center" vertical="center" textRotation="0" wrapText="false" indent="0" shrinkToFit="false"/>
      <protection locked="true" hidden="false"/>
    </xf>
    <xf numFmtId="165" fontId="0" fillId="8" borderId="1" xfId="0" applyFont="false" applyBorder="true" applyAlignment="true" applyProtection="false">
      <alignment horizontal="general"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8" fontId="9" fillId="6" borderId="1" xfId="0" applyFont="true" applyBorder="true" applyAlignment="true" applyProtection="false">
      <alignment horizontal="center" vertical="center" textRotation="0" wrapText="true" indent="0" shrinkToFit="false"/>
      <protection locked="true" hidden="false"/>
    </xf>
    <xf numFmtId="166" fontId="9" fillId="6" borderId="1" xfId="0" applyFont="true" applyBorder="true" applyAlignment="true" applyProtection="false">
      <alignment horizontal="center" vertical="center" textRotation="0" wrapText="true" indent="0" shrinkToFit="false"/>
      <protection locked="true" hidden="false"/>
    </xf>
    <xf numFmtId="168" fontId="14" fillId="6" borderId="1" xfId="0" applyFont="true" applyBorder="true" applyAlignment="true" applyProtection="false">
      <alignment horizontal="center" vertical="center" textRotation="0" wrapText="true" indent="0" shrinkToFit="false"/>
      <protection locked="true" hidden="false"/>
    </xf>
    <xf numFmtId="167" fontId="0" fillId="6" borderId="3" xfId="0" applyFont="false" applyBorder="true" applyAlignment="true" applyProtection="false">
      <alignment horizontal="center" vertical="center" textRotation="0" wrapText="false" indent="0" shrinkToFit="false"/>
      <protection locked="true" hidden="false"/>
    </xf>
    <xf numFmtId="164" fontId="0" fillId="6" borderId="0" xfId="0" applyFont="false" applyBorder="false" applyAlignment="true" applyProtection="false">
      <alignment horizontal="center" vertical="center" textRotation="0" wrapText="true" indent="0" shrinkToFit="false"/>
      <protection locked="true" hidden="false"/>
    </xf>
    <xf numFmtId="167" fontId="13"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false" indent="0" shrinkToFit="false"/>
      <protection locked="false" hidden="false"/>
    </xf>
    <xf numFmtId="168" fontId="9" fillId="6" borderId="1" xfId="0" applyFont="true" applyBorder="true" applyAlignment="true" applyProtection="true">
      <alignment horizontal="center" vertical="center" textRotation="0" wrapText="false" indent="0" shrinkToFit="false"/>
      <protection locked="false" hidden="false"/>
    </xf>
    <xf numFmtId="165" fontId="9" fillId="6"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true">
      <alignment horizontal="center" vertical="center" textRotation="0" wrapText="false" indent="0" shrinkToFit="false"/>
      <protection locked="false" hidden="false"/>
    </xf>
    <xf numFmtId="168" fontId="9" fillId="9" borderId="1" xfId="0" applyFont="true" applyBorder="true" applyAlignment="true" applyProtection="true">
      <alignment horizontal="center" vertical="center" textRotation="0" wrapText="false" indent="0" shrinkToFit="false"/>
      <protection locked="false" hidden="false"/>
    </xf>
    <xf numFmtId="165" fontId="9" fillId="9" borderId="1"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8" fontId="14" fillId="9" borderId="1" xfId="0" applyFont="true" applyBorder="true" applyAlignment="true" applyProtection="false">
      <alignment horizontal="center" vertical="center" textRotation="0" wrapText="false" indent="0" shrinkToFit="false"/>
      <protection locked="true" hidden="false"/>
    </xf>
    <xf numFmtId="167" fontId="0" fillId="9" borderId="1" xfId="0" applyFont="false" applyBorder="true" applyAlignment="true" applyProtection="false">
      <alignment horizontal="center" vertical="center" textRotation="0" wrapText="false" indent="0" shrinkToFit="false"/>
      <protection locked="true" hidden="false"/>
    </xf>
    <xf numFmtId="165" fontId="0" fillId="9" borderId="1" xfId="0" applyFont="false" applyBorder="true" applyAlignment="true" applyProtection="false">
      <alignment horizontal="center" vertical="center" textRotation="0" wrapText="false" indent="0" shrinkToFit="false"/>
      <protection locked="true" hidden="false"/>
    </xf>
    <xf numFmtId="164" fontId="0" fillId="9" borderId="1" xfId="0" applyFont="false" applyBorder="true" applyAlignment="true" applyProtection="false">
      <alignment horizontal="center" vertical="center" textRotation="0" wrapText="false" indent="0" shrinkToFit="false"/>
      <protection locked="true" hidden="false"/>
    </xf>
    <xf numFmtId="165" fontId="0" fillId="9" borderId="1" xfId="0" applyFont="false" applyBorder="true" applyAlignment="true" applyProtection="false">
      <alignment horizontal="general"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0" fillId="9" borderId="5" xfId="0" applyFont="true" applyBorder="true" applyAlignment="true" applyProtection="false">
      <alignment horizontal="general" vertical="top" textRotation="0" wrapText="true" indent="0" shrinkToFit="false"/>
      <protection locked="true" hidden="false"/>
    </xf>
    <xf numFmtId="164" fontId="11" fillId="9" borderId="5" xfId="0" applyFont="true" applyBorder="true" applyAlignment="true" applyProtection="false">
      <alignment horizontal="general" vertical="top" textRotation="0" wrapText="true" indent="0" shrinkToFit="false"/>
      <protection locked="true" hidden="false"/>
    </xf>
    <xf numFmtId="164" fontId="12" fillId="9" borderId="5" xfId="0" applyFont="true" applyBorder="true" applyAlignment="true" applyProtection="false">
      <alignment horizontal="center" vertical="center" textRotation="0" wrapText="true" indent="0" shrinkToFit="false"/>
      <protection locked="true" hidden="false"/>
    </xf>
    <xf numFmtId="164" fontId="9" fillId="9" borderId="5" xfId="0" applyFont="true" applyBorder="true" applyAlignment="true" applyProtection="false">
      <alignment horizontal="center" vertical="center" textRotation="0" wrapText="true" indent="0" shrinkToFit="false"/>
      <protection locked="true" hidden="false"/>
    </xf>
    <xf numFmtId="166" fontId="12" fillId="9" borderId="5" xfId="0" applyFont="true" applyBorder="true" applyAlignment="true" applyProtection="false">
      <alignment horizontal="center" vertical="center" textRotation="0" wrapText="true" indent="0" shrinkToFit="false"/>
      <protection locked="true" hidden="false"/>
    </xf>
    <xf numFmtId="168" fontId="9" fillId="9" borderId="5" xfId="0" applyFont="true" applyBorder="true" applyAlignment="true" applyProtection="false">
      <alignment horizontal="center" vertical="center" textRotation="0" wrapText="true" indent="0" shrinkToFit="false"/>
      <protection locked="true" hidden="false"/>
    </xf>
    <xf numFmtId="165" fontId="9" fillId="9" borderId="5" xfId="0" applyFont="true" applyBorder="true" applyAlignment="true" applyProtection="false">
      <alignment horizontal="center" vertical="center" textRotation="0" wrapText="tru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7" fontId="13" fillId="9" borderId="0" xfId="0" applyFont="true" applyBorder="false" applyAlignment="true" applyProtection="false">
      <alignment horizontal="center" vertical="center" textRotation="0" wrapText="true" indent="0" shrinkToFit="false"/>
      <protection locked="true" hidden="false"/>
    </xf>
    <xf numFmtId="168" fontId="14" fillId="9" borderId="0" xfId="0" applyFont="true" applyBorder="false" applyAlignment="true" applyProtection="false">
      <alignment horizontal="center" vertical="center" textRotation="0" wrapText="true" indent="0" shrinkToFit="false"/>
      <protection locked="true" hidden="false"/>
    </xf>
    <xf numFmtId="167" fontId="0" fillId="9" borderId="0" xfId="0" applyFont="false" applyBorder="false" applyAlignment="true" applyProtection="false">
      <alignment horizontal="center" vertical="center" textRotation="0" wrapText="false" indent="0" shrinkToFit="false"/>
      <protection locked="true" hidden="false"/>
    </xf>
    <xf numFmtId="165"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5" fontId="0" fillId="9" borderId="0" xfId="0" applyFont="false" applyBorder="false" applyAlignment="true" applyProtection="false">
      <alignment horizontal="general" vertical="center" textRotation="0" wrapText="fals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11" fillId="9" borderId="0" xfId="0" applyFont="true" applyBorder="fals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8" fontId="0" fillId="9" borderId="0" xfId="0" applyFont="false" applyBorder="false" applyAlignment="false" applyProtection="false">
      <alignment horizontal="general" vertical="bottom" textRotation="0" wrapText="false" indent="0" shrinkToFit="false"/>
      <protection locked="true" hidden="false"/>
    </xf>
    <xf numFmtId="164" fontId="13" fillId="9" borderId="0" xfId="0" applyFont="true" applyBorder="false" applyAlignment="false" applyProtection="false">
      <alignment horizontal="general" vertical="bottom" textRotation="0" wrapText="false" indent="0" shrinkToFit="false"/>
      <protection locked="true" hidden="false"/>
    </xf>
    <xf numFmtId="168" fontId="14" fillId="9" borderId="0" xfId="0" applyFont="true" applyBorder="false" applyAlignment="false" applyProtection="false">
      <alignment horizontal="general" vertical="bottom" textRotation="0" wrapText="false" indent="0" shrinkToFit="false"/>
      <protection locked="true" hidden="false"/>
    </xf>
    <xf numFmtId="164" fontId="6" fillId="9" borderId="2" xfId="0" applyFont="true" applyBorder="true" applyAlignment="true" applyProtection="false">
      <alignment horizontal="center" vertical="center" textRotation="0" wrapText="true" indent="0" shrinkToFit="false"/>
      <protection locked="true" hidden="false"/>
    </xf>
    <xf numFmtId="164" fontId="10" fillId="9" borderId="3"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righ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8" fontId="7" fillId="9" borderId="1" xfId="0" applyFont="true" applyBorder="true" applyAlignment="true" applyProtection="false">
      <alignment horizontal="center" vertical="center" textRotation="0" wrapText="true" indent="0" shrinkToFit="false"/>
      <protection locked="true" hidden="false"/>
    </xf>
    <xf numFmtId="164" fontId="13" fillId="9" borderId="4" xfId="0" applyFont="true" applyBorder="true" applyAlignment="true" applyProtection="false">
      <alignment horizontal="center" vertical="center" textRotation="0" wrapText="false" indent="0" shrinkToFit="false"/>
      <protection locked="true" hidden="false"/>
    </xf>
    <xf numFmtId="168" fontId="14" fillId="9" borderId="4" xfId="0" applyFont="true" applyBorder="true" applyAlignment="true" applyProtection="false">
      <alignment horizontal="center" vertical="center" textRotation="0" wrapText="false" indent="0" shrinkToFit="false"/>
      <protection locked="true" hidden="false"/>
    </xf>
    <xf numFmtId="164" fontId="8" fillId="9" borderId="4"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6" fontId="17" fillId="9" borderId="1" xfId="0" applyFont="true" applyBorder="true" applyAlignment="true" applyProtection="false">
      <alignment horizontal="center" vertical="center" textRotation="0" wrapText="true" indent="0" shrinkToFit="false"/>
      <protection locked="true" hidden="false"/>
    </xf>
    <xf numFmtId="168" fontId="17" fillId="9" borderId="1" xfId="0" applyFont="true" applyBorder="true" applyAlignment="true" applyProtection="false">
      <alignment horizontal="center" vertical="center" textRotation="0" wrapText="true" indent="0" shrinkToFit="false"/>
      <protection locked="true" hidden="false"/>
    </xf>
    <xf numFmtId="165" fontId="17" fillId="9" borderId="1" xfId="0" applyFont="true" applyBorder="true" applyAlignment="true" applyProtection="false">
      <alignment horizontal="center" vertical="center" textRotation="0" wrapText="true" indent="0" shrinkToFit="false"/>
      <protection locked="true" hidden="false"/>
    </xf>
    <xf numFmtId="168" fontId="14" fillId="9" borderId="1" xfId="0" applyFont="true" applyBorder="true" applyAlignment="true" applyProtection="false">
      <alignment horizontal="center" vertical="center" textRotation="0" wrapText="true" indent="0" shrinkToFit="false"/>
      <protection locked="true" hidden="false"/>
    </xf>
    <xf numFmtId="164" fontId="6" fillId="9" borderId="2" xfId="0" applyFont="true" applyBorder="true" applyAlignment="true" applyProtection="false">
      <alignment horizontal="right" vertical="center" textRotation="0" wrapText="true" indent="0" shrinkToFit="false"/>
      <protection locked="true" hidden="false"/>
    </xf>
    <xf numFmtId="164" fontId="10" fillId="9" borderId="0" xfId="0" applyFont="true" applyBorder="false" applyAlignment="true" applyProtection="false">
      <alignment horizontal="general" vertical="top" textRotation="0" wrapText="true" indent="0" shrinkToFit="false"/>
      <protection locked="true" hidden="false"/>
    </xf>
    <xf numFmtId="165" fontId="6" fillId="9" borderId="3" xfId="0" applyFont="true" applyBorder="true" applyAlignment="true" applyProtection="false">
      <alignment horizontal="general" vertical="center" textRotation="0" wrapText="true" indent="0" shrinkToFit="false"/>
      <protection locked="true" hidden="false"/>
    </xf>
    <xf numFmtId="164" fontId="4" fillId="9" borderId="1" xfId="0" applyFont="true" applyBorder="true" applyAlignment="true" applyProtection="false">
      <alignment horizontal="center" vertical="center" textRotation="0" wrapText="true" indent="0" shrinkToFit="false"/>
      <protection locked="true" hidden="false"/>
    </xf>
    <xf numFmtId="164" fontId="6" fillId="7" borderId="2" xfId="0" applyFont="true" applyBorder="true" applyAlignment="true" applyProtection="false">
      <alignment horizontal="center" vertical="center" textRotation="0" wrapText="true" indent="0" shrinkToFit="false"/>
      <protection locked="true" hidden="false"/>
    </xf>
    <xf numFmtId="164" fontId="10" fillId="7" borderId="3" xfId="0" applyFont="true" applyBorder="true" applyAlignment="true" applyProtection="false">
      <alignment horizontal="general" vertical="top" textRotation="0" wrapText="true" indent="0" shrinkToFit="false"/>
      <protection locked="true" hidden="false"/>
    </xf>
    <xf numFmtId="164" fontId="11" fillId="7" borderId="0" xfId="0" applyFont="true" applyBorder="false" applyAlignment="true" applyProtection="false">
      <alignment horizontal="general" vertical="top" textRotation="0" wrapText="tru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8" fontId="0" fillId="7" borderId="0" xfId="0" applyFont="false" applyBorder="false" applyAlignment="false" applyProtection="false">
      <alignment horizontal="general" vertical="bottom" textRotation="0" wrapText="false" indent="0" shrinkToFit="false"/>
      <protection locked="true" hidden="false"/>
    </xf>
    <xf numFmtId="165" fontId="6" fillId="7" borderId="1" xfId="0" applyFont="true" applyBorder="true" applyAlignment="true" applyProtection="false">
      <alignment horizontal="right" vertical="center" textRotation="0" wrapText="tru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8" fontId="7" fillId="7" borderId="1" xfId="0" applyFont="true" applyBorder="true" applyAlignment="true" applyProtection="false">
      <alignment horizontal="center" vertical="center" textRotation="0" wrapText="true" indent="0" shrinkToFit="false"/>
      <protection locked="true" hidden="false"/>
    </xf>
    <xf numFmtId="164" fontId="13" fillId="7" borderId="4" xfId="0" applyFont="true" applyBorder="true" applyAlignment="true" applyProtection="false">
      <alignment horizontal="center" vertical="center" textRotation="0" wrapText="false" indent="0" shrinkToFit="false"/>
      <protection locked="true" hidden="false"/>
    </xf>
    <xf numFmtId="168" fontId="14" fillId="7" borderId="4" xfId="0" applyFont="true" applyBorder="true" applyAlignment="true" applyProtection="false">
      <alignment horizontal="center" vertical="center" textRotation="0" wrapText="false" indent="0" shrinkToFit="false"/>
      <protection locked="true" hidden="false"/>
    </xf>
    <xf numFmtId="164" fontId="8" fillId="7" borderId="4"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5" fontId="17" fillId="7" borderId="1" xfId="0" applyFont="true" applyBorder="true" applyAlignment="true" applyProtection="false">
      <alignment horizontal="center" vertical="center" textRotation="0" wrapText="true" indent="0" shrinkToFit="false"/>
      <protection locked="true" hidden="false"/>
    </xf>
    <xf numFmtId="168" fontId="14"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5" fontId="0" fillId="7" borderId="1" xfId="0" applyFont="false" applyBorder="true" applyAlignment="tru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10" fillId="7" borderId="5" xfId="0" applyFont="true" applyBorder="true" applyAlignment="true" applyProtection="false">
      <alignment horizontal="general" vertical="top" textRotation="0" wrapText="true" indent="0" shrinkToFit="false"/>
      <protection locked="true" hidden="false"/>
    </xf>
    <xf numFmtId="164" fontId="11" fillId="7" borderId="5" xfId="0" applyFont="true" applyBorder="true" applyAlignment="true" applyProtection="false">
      <alignment horizontal="general" vertical="top" textRotation="0" wrapText="true" indent="0" shrinkToFit="false"/>
      <protection locked="true" hidden="false"/>
    </xf>
    <xf numFmtId="164" fontId="9" fillId="7" borderId="5" xfId="0" applyFont="true" applyBorder="true" applyAlignment="true" applyProtection="false">
      <alignment horizontal="center" vertical="center" textRotation="0" wrapText="true" indent="0" shrinkToFit="false"/>
      <protection locked="true" hidden="false"/>
    </xf>
    <xf numFmtId="168" fontId="9" fillId="7" borderId="5" xfId="0" applyFont="true" applyBorder="true" applyAlignment="true" applyProtection="false">
      <alignment horizontal="center" vertical="center" textRotation="0" wrapText="true" indent="0" shrinkToFit="false"/>
      <protection locked="true" hidden="false"/>
    </xf>
    <xf numFmtId="165" fontId="18" fillId="7" borderId="3" xfId="0" applyFont="true" applyBorder="true" applyAlignment="true" applyProtection="false">
      <alignment horizontal="center" vertical="center" textRotation="0" wrapText="tru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16" fillId="7" borderId="0" xfId="0" applyFont="true" applyBorder="false" applyAlignment="true" applyProtection="false">
      <alignment horizontal="center" vertical="center" textRotation="0" wrapText="true" indent="0" shrinkToFit="false"/>
      <protection locked="true" hidden="false"/>
    </xf>
    <xf numFmtId="165" fontId="0" fillId="7" borderId="0" xfId="0" applyFont="false" applyBorder="false" applyAlignment="true" applyProtection="false">
      <alignment horizontal="general" vertical="bottom" textRotation="0" wrapText="false" indent="0" shrinkToFit="false"/>
      <protection locked="true" hidden="false"/>
    </xf>
    <xf numFmtId="165" fontId="0" fillId="7" borderId="0" xfId="0" applyFont="fals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8" fontId="17" fillId="8"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8" fontId="14" fillId="8"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5" fontId="0" fillId="8" borderId="1" xfId="0" applyFont="fals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5" fontId="9" fillId="0" borderId="5" xfId="0" applyFont="true" applyBorder="true" applyAlignment="true" applyProtection="false">
      <alignment horizontal="center" vertical="center" textRotation="0" wrapText="true" indent="0" shrinkToFit="false"/>
      <protection locked="true" hidden="false"/>
    </xf>
    <xf numFmtId="165" fontId="18" fillId="0" borderId="3" xfId="0" applyFont="true" applyBorder="tru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8" fontId="6" fillId="0" borderId="3" xfId="0" applyFont="true" applyBorder="true" applyAlignment="true" applyProtection="false">
      <alignment horizontal="general" vertical="center" textRotation="0" wrapText="tru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right" vertical="bottom" textRotation="0" wrapText="false" indent="0" shrinkToFit="false"/>
      <protection locked="true" hidden="false"/>
    </xf>
    <xf numFmtId="168" fontId="22" fillId="0" borderId="3" xfId="0" applyFont="true" applyBorder="tru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right"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top" textRotation="0" wrapText="true" indent="0" shrinkToFit="false"/>
      <protection locked="true" hidden="false"/>
    </xf>
    <xf numFmtId="164" fontId="11" fillId="10" borderId="0" xfId="0" applyFont="true" applyBorder="false" applyAlignment="true" applyProtection="false">
      <alignment horizontal="general" vertical="top" textRotation="0" wrapText="true" indent="0" shrinkToFit="false"/>
      <protection locked="true" hidden="false"/>
    </xf>
    <xf numFmtId="168" fontId="0" fillId="10" borderId="0" xfId="0" applyFont="false" applyBorder="false" applyAlignment="false" applyProtection="false">
      <alignment horizontal="general" vertical="bottom" textRotation="0" wrapText="false" indent="0" shrinkToFit="false"/>
      <protection locked="true" hidden="false"/>
    </xf>
    <xf numFmtId="164" fontId="13" fillId="10" borderId="0" xfId="0" applyFont="true" applyBorder="false" applyAlignment="false" applyProtection="false">
      <alignment horizontal="general" vertical="bottom" textRotation="0" wrapText="false" indent="0" shrinkToFit="false"/>
      <protection locked="true" hidden="false"/>
    </xf>
    <xf numFmtId="168" fontId="14" fillId="10" borderId="0" xfId="0" applyFont="true" applyBorder="false" applyAlignment="false" applyProtection="false">
      <alignment horizontal="general" vertical="bottom" textRotation="0" wrapText="false" indent="0" shrinkToFit="false"/>
      <protection locked="true" hidden="false"/>
    </xf>
    <xf numFmtId="164" fontId="14" fillId="1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Moeda 2" xfId="20"/>
    <cellStyle name="Moeda 2 2" xfId="21"/>
    <cellStyle name="Moeda 3" xfId="22"/>
    <cellStyle name="Moeda 4" xfId="23"/>
    <cellStyle name="Moeda 5" xfId="24"/>
  </cellStyles>
  <dxfs count="3">
    <dxf>
      <font>
        <name val="Calibri"/>
        <charset val="1"/>
        <family val="2"/>
        <color rgb="FF993300"/>
        <sz val="11"/>
      </font>
      <fill>
        <patternFill>
          <bgColor rgb="FFFFFF99"/>
        </patternFill>
      </fill>
    </dxf>
    <dxf>
      <font>
        <name val="Calibri"/>
        <charset val="1"/>
        <family val="2"/>
        <color rgb="FF008000"/>
        <sz val="11"/>
      </font>
      <fill>
        <patternFill>
          <bgColor rgb="FFCCFFCC"/>
        </patternFill>
      </fill>
    </dxf>
    <dxf>
      <font>
        <name val="Calibri"/>
        <charset val="1"/>
        <family val="2"/>
        <color rgb="FF800080"/>
        <sz val="11"/>
      </font>
      <fill>
        <patternFill>
          <bgColor rgb="FFFF99CC"/>
        </patternFill>
      </fill>
    </dxf>
  </dxfs>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DE7"/>
      <rgbColor rgb="FFE8F5E9"/>
      <rgbColor rgb="FF660066"/>
      <rgbColor rgb="FFFF8080"/>
      <rgbColor rgb="FF1F4E79"/>
      <rgbColor rgb="FFF3E5F5"/>
      <rgbColor rgb="FF000080"/>
      <rgbColor rgb="FFFF00FF"/>
      <rgbColor rgb="FFFFFF00"/>
      <rgbColor rgb="FF00FFFF"/>
      <rgbColor rgb="FF800080"/>
      <rgbColor rgb="FF800000"/>
      <rgbColor rgb="FF008080"/>
      <rgbColor rgb="FF0000FF"/>
      <rgbColor rgb="FF00CCFF"/>
      <rgbColor rgb="FFE8F0FE"/>
      <rgbColor rgb="FFCCFFCC"/>
      <rgbColor rgb="FFFFFF99"/>
      <rgbColor rgb="FF99CCFF"/>
      <rgbColor rgb="FFFF99CC"/>
      <rgbColor rgb="FFCC99FF"/>
      <rgbColor rgb="FFFFF3E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4.25" zeroHeight="false" outlineLevelRow="0" outlineLevelCol="0"/>
  <cols>
    <col collapsed="false" customWidth="true" hidden="false" outlineLevel="0" max="1" min="1" style="1" width="5.1"/>
    <col collapsed="false" customWidth="true" hidden="false" outlineLevel="0" max="2" min="2" style="1" width="25.43"/>
    <col collapsed="false" customWidth="true" hidden="false" outlineLevel="0" max="3" min="3" style="1" width="36.32"/>
    <col collapsed="false" customWidth="true" hidden="false" outlineLevel="0" max="5" min="5" style="1" width="9.99"/>
    <col collapsed="false" customWidth="true" hidden="false" outlineLevel="0" max="7" min="7" style="1" width="11.87"/>
    <col collapsed="false" customWidth="true" hidden="false" outlineLevel="0" max="8" min="8" style="1" width="16.89"/>
    <col collapsed="false" customWidth="true" hidden="false" outlineLevel="0" max="9" min="9" style="1" width="18.87"/>
    <col collapsed="false" customWidth="true" hidden="false" outlineLevel="0" max="10" min="10" style="1" width="7.66"/>
    <col collapsed="false" customWidth="true" hidden="false" outlineLevel="0" max="11" min="11" style="1" width="17.43"/>
    <col collapsed="false" customWidth="true" hidden="false" outlineLevel="0" max="12" min="12" style="1" width="13.43"/>
    <col collapsed="false" customWidth="true" hidden="false" outlineLevel="0" max="13" min="13" style="1" width="18.43"/>
    <col collapsed="false" customWidth="true" hidden="false" outlineLevel="0" max="14" min="14" style="1" width="13.66"/>
    <col collapsed="false" customWidth="true" hidden="false" outlineLevel="0" max="15" min="15" style="1" width="18.1"/>
    <col collapsed="false" customWidth="true" hidden="false" outlineLevel="0" max="16" min="16" style="1" width="14.66"/>
    <col collapsed="false" customWidth="true" hidden="false" outlineLevel="0" max="17" min="17" style="1" width="18.1"/>
  </cols>
  <sheetData>
    <row r="1" customFormat="false" ht="14.25" hidden="false" customHeight="true" outlineLevel="0" collapsed="false">
      <c r="A1" s="2" t="s">
        <v>0</v>
      </c>
    </row>
    <row r="2" customFormat="false" ht="14.25" hidden="false" customHeight="true" outlineLevel="0" collapsed="false"/>
    <row r="3" customFormat="false" ht="14.25" hidden="false" customHeight="true" outlineLevel="0" collapsed="false">
      <c r="A3" s="3" t="s">
        <v>1</v>
      </c>
      <c r="B3" s="4" t="s">
        <v>2</v>
      </c>
      <c r="D3" s="4" t="s">
        <v>3</v>
      </c>
      <c r="E3" s="4" t="s">
        <v>4</v>
      </c>
      <c r="F3" s="4" t="s">
        <v>5</v>
      </c>
      <c r="I3" s="4" t="s">
        <v>6</v>
      </c>
    </row>
    <row r="4" customFormat="false" ht="14.25" hidden="false" customHeight="true" outlineLevel="0" collapsed="false">
      <c r="A4" s="5" t="n">
        <v>1</v>
      </c>
      <c r="B4" s="6" t="s">
        <v>7</v>
      </c>
      <c r="E4" s="7" t="s">
        <v>8</v>
      </c>
      <c r="F4" s="7" t="s">
        <v>9</v>
      </c>
      <c r="I4" s="8" t="n">
        <f aca="false">SUM(I6:I8)</f>
        <v>201600</v>
      </c>
    </row>
    <row r="5" customFormat="false" ht="14.25" hidden="false" customHeight="true" outlineLevel="0" collapsed="false">
      <c r="A5" s="9" t="s">
        <v>1</v>
      </c>
      <c r="B5" s="9" t="s">
        <v>10</v>
      </c>
      <c r="C5" s="9" t="s">
        <v>11</v>
      </c>
      <c r="D5" s="9" t="s">
        <v>3</v>
      </c>
      <c r="E5" s="9" t="s">
        <v>12</v>
      </c>
      <c r="F5" s="9" t="s">
        <v>4</v>
      </c>
      <c r="G5" s="9" t="s">
        <v>12</v>
      </c>
      <c r="H5" s="9" t="s">
        <v>13</v>
      </c>
      <c r="I5" s="9" t="s">
        <v>6</v>
      </c>
      <c r="K5" s="10" t="s">
        <v>14</v>
      </c>
      <c r="L5" s="10" t="s">
        <v>15</v>
      </c>
      <c r="M5" s="10" t="s">
        <v>16</v>
      </c>
      <c r="N5" s="10" t="s">
        <v>15</v>
      </c>
      <c r="O5" s="10" t="s">
        <v>17</v>
      </c>
      <c r="P5" s="10" t="s">
        <v>15</v>
      </c>
      <c r="Q5" s="10" t="s">
        <v>18</v>
      </c>
    </row>
    <row r="6" customFormat="false" ht="105" hidden="false" customHeight="true" outlineLevel="0" collapsed="false">
      <c r="A6" s="11" t="s">
        <v>19</v>
      </c>
      <c r="B6" s="12" t="s">
        <v>20</v>
      </c>
      <c r="C6" s="13" t="s">
        <v>21</v>
      </c>
      <c r="D6" s="14" t="n">
        <v>1</v>
      </c>
      <c r="E6" s="15" t="s">
        <v>22</v>
      </c>
      <c r="F6" s="14" t="n">
        <v>12</v>
      </c>
      <c r="G6" s="16" t="s">
        <v>23</v>
      </c>
      <c r="H6" s="17" t="n">
        <v>5800</v>
      </c>
      <c r="I6" s="17" t="n">
        <f aca="false">H6*F6*D6</f>
        <v>69600</v>
      </c>
      <c r="J6" s="18"/>
      <c r="K6" s="19" t="s">
        <v>24</v>
      </c>
      <c r="L6" s="20" t="n">
        <v>17425</v>
      </c>
      <c r="M6" s="21"/>
      <c r="N6" s="22"/>
      <c r="O6" s="23"/>
      <c r="P6" s="22"/>
      <c r="Q6" s="24" t="n">
        <f aca="false">IF(COUNT(L6,N6,P6)&gt;0,AVERAGE(L6,N6,P6),"")</f>
        <v>17425</v>
      </c>
    </row>
    <row r="7" customFormat="false" ht="105" hidden="false" customHeight="true" outlineLevel="0" collapsed="false">
      <c r="A7" s="11" t="s">
        <v>25</v>
      </c>
      <c r="B7" s="12" t="s">
        <v>26</v>
      </c>
      <c r="C7" s="13" t="s">
        <v>27</v>
      </c>
      <c r="D7" s="14" t="n">
        <v>2</v>
      </c>
      <c r="E7" s="15" t="s">
        <v>22</v>
      </c>
      <c r="F7" s="14" t="n">
        <v>12</v>
      </c>
      <c r="G7" s="16" t="s">
        <v>23</v>
      </c>
      <c r="H7" s="17" t="n">
        <v>3800</v>
      </c>
      <c r="I7" s="17" t="n">
        <f aca="false">H7*F7*D7</f>
        <v>91200</v>
      </c>
      <c r="J7" s="18"/>
      <c r="K7" s="19" t="s">
        <v>28</v>
      </c>
      <c r="L7" s="25" t="n">
        <v>2399.22</v>
      </c>
      <c r="M7" s="21"/>
      <c r="N7" s="22"/>
      <c r="O7" s="23"/>
      <c r="P7" s="22"/>
      <c r="Q7" s="24" t="n">
        <f aca="false">IF(COUNT(L7,N7,P7)&gt;0,AVERAGE(L7,N7,P7),"")</f>
        <v>2399.22</v>
      </c>
    </row>
    <row r="8" customFormat="false" ht="39" hidden="false" customHeight="true" outlineLevel="0" collapsed="false">
      <c r="A8" s="11" t="s">
        <v>29</v>
      </c>
      <c r="B8" s="12" t="s">
        <v>30</v>
      </c>
      <c r="C8" s="13" t="s">
        <v>31</v>
      </c>
      <c r="D8" s="14" t="n">
        <v>2</v>
      </c>
      <c r="E8" s="15" t="s">
        <v>22</v>
      </c>
      <c r="F8" s="14" t="n">
        <v>12</v>
      </c>
      <c r="G8" s="16" t="s">
        <v>23</v>
      </c>
      <c r="H8" s="17" t="n">
        <v>1700</v>
      </c>
      <c r="I8" s="17" t="n">
        <f aca="false">H8*F8*D8</f>
        <v>40800</v>
      </c>
      <c r="J8" s="18"/>
      <c r="K8" s="26" t="s">
        <v>24</v>
      </c>
      <c r="L8" s="20" t="n">
        <v>1453.0625</v>
      </c>
      <c r="M8" s="21"/>
      <c r="N8" s="22"/>
      <c r="O8" s="23"/>
      <c r="P8" s="22"/>
      <c r="Q8" s="24" t="n">
        <f aca="false">IF(COUNT(L8,N8,P8)&gt;0,AVERAGE(L8,N8,P8),"")</f>
        <v>1453.0625</v>
      </c>
    </row>
    <row r="9" customFormat="false" ht="14.25" hidden="false" customHeight="true" outlineLevel="0" collapsed="false">
      <c r="I9" s="27"/>
    </row>
    <row r="10" customFormat="false" ht="14.25" hidden="false" customHeight="true" outlineLevel="0" collapsed="false">
      <c r="A10" s="3" t="s">
        <v>1</v>
      </c>
      <c r="B10" s="4" t="s">
        <v>2</v>
      </c>
      <c r="D10" s="4" t="s">
        <v>3</v>
      </c>
      <c r="E10" s="4" t="s">
        <v>4</v>
      </c>
      <c r="F10" s="4" t="s">
        <v>5</v>
      </c>
      <c r="I10" s="4" t="s">
        <v>6</v>
      </c>
    </row>
    <row r="11" customFormat="false" ht="14.25" hidden="false" customHeight="true" outlineLevel="0" collapsed="false">
      <c r="A11" s="5" t="n">
        <v>2</v>
      </c>
      <c r="B11" s="6" t="s">
        <v>32</v>
      </c>
      <c r="E11" s="7" t="s">
        <v>8</v>
      </c>
      <c r="F11" s="7" t="s">
        <v>9</v>
      </c>
      <c r="I11" s="8" t="n">
        <f aca="false">SUM(I13:I13)</f>
        <v>61833.6</v>
      </c>
    </row>
    <row r="12" customFormat="false" ht="14.25" hidden="false" customHeight="true" outlineLevel="0" collapsed="false">
      <c r="A12" s="28" t="s">
        <v>1</v>
      </c>
      <c r="B12" s="28" t="s">
        <v>10</v>
      </c>
      <c r="C12" s="28" t="s">
        <v>11</v>
      </c>
      <c r="D12" s="28" t="s">
        <v>3</v>
      </c>
      <c r="E12" s="28" t="s">
        <v>12</v>
      </c>
      <c r="F12" s="28" t="s">
        <v>4</v>
      </c>
      <c r="G12" s="28" t="s">
        <v>12</v>
      </c>
      <c r="H12" s="28" t="s">
        <v>13</v>
      </c>
      <c r="I12" s="28" t="s">
        <v>6</v>
      </c>
      <c r="K12" s="29"/>
      <c r="L12" s="29"/>
      <c r="M12" s="29"/>
      <c r="N12" s="29"/>
      <c r="O12" s="29"/>
      <c r="P12" s="29"/>
      <c r="Q12" s="29"/>
    </row>
    <row r="13" customFormat="false" ht="26.25" hidden="false" customHeight="true" outlineLevel="0" collapsed="false">
      <c r="A13" s="15" t="s">
        <v>33</v>
      </c>
      <c r="B13" s="12" t="s">
        <v>34</v>
      </c>
      <c r="C13" s="13" t="s">
        <v>35</v>
      </c>
      <c r="D13" s="14" t="n">
        <f aca="false">D7</f>
        <v>2</v>
      </c>
      <c r="E13" s="15" t="s">
        <v>36</v>
      </c>
      <c r="F13" s="14" t="n">
        <f aca="false">F7</f>
        <v>12</v>
      </c>
      <c r="G13" s="16" t="s">
        <v>23</v>
      </c>
      <c r="H13" s="17" t="n">
        <f aca="false">H7*0.678</f>
        <v>2576.4</v>
      </c>
      <c r="I13" s="17" t="n">
        <f aca="false">H13*F13*D13</f>
        <v>61833.6</v>
      </c>
      <c r="J13" s="18"/>
      <c r="K13" s="30" t="s">
        <v>24</v>
      </c>
      <c r="L13" s="31"/>
      <c r="M13" s="32"/>
      <c r="N13" s="33"/>
      <c r="O13" s="34"/>
      <c r="P13" s="33"/>
      <c r="Q13" s="35" t="str">
        <f aca="false">IF(COUNT(L13,N13,P13)&gt;0,AVERAGE(L13,N13,P13),"")</f>
        <v/>
      </c>
    </row>
    <row r="14" customFormat="false" ht="14.25" hidden="false" customHeight="true" outlineLevel="0" collapsed="false">
      <c r="A14" s="36"/>
      <c r="B14" s="37"/>
      <c r="C14" s="37"/>
      <c r="D14" s="37"/>
      <c r="E14" s="37"/>
      <c r="F14" s="37"/>
      <c r="G14" s="37"/>
      <c r="H14" s="38"/>
      <c r="I14" s="27"/>
      <c r="K14" s="39"/>
      <c r="L14" s="40"/>
      <c r="Q14" s="41"/>
    </row>
    <row r="15" customFormat="false" ht="14.25" hidden="false" customHeight="true" outlineLevel="0" collapsed="false">
      <c r="A15" s="3" t="s">
        <v>1</v>
      </c>
      <c r="B15" s="4" t="s">
        <v>2</v>
      </c>
      <c r="D15" s="4" t="s">
        <v>3</v>
      </c>
      <c r="E15" s="4" t="s">
        <v>4</v>
      </c>
      <c r="F15" s="4" t="s">
        <v>5</v>
      </c>
      <c r="I15" s="4" t="s">
        <v>6</v>
      </c>
    </row>
    <row r="16" customFormat="false" ht="14.25" hidden="false" customHeight="true" outlineLevel="0" collapsed="false">
      <c r="A16" s="5" t="n">
        <v>3</v>
      </c>
      <c r="B16" s="6" t="s">
        <v>37</v>
      </c>
      <c r="E16" s="7" t="s">
        <v>8</v>
      </c>
      <c r="F16" s="7" t="s">
        <v>9</v>
      </c>
      <c r="I16" s="8" t="n">
        <f aca="false">SUM(I18:I20)</f>
        <v>30600</v>
      </c>
    </row>
    <row r="17" customFormat="false" ht="14.25" hidden="false" customHeight="true" outlineLevel="0" collapsed="false">
      <c r="A17" s="28" t="s">
        <v>1</v>
      </c>
      <c r="B17" s="28" t="s">
        <v>10</v>
      </c>
      <c r="C17" s="28" t="s">
        <v>11</v>
      </c>
      <c r="D17" s="28" t="s">
        <v>3</v>
      </c>
      <c r="E17" s="28" t="s">
        <v>12</v>
      </c>
      <c r="F17" s="28" t="s">
        <v>4</v>
      </c>
      <c r="G17" s="28" t="s">
        <v>12</v>
      </c>
      <c r="H17" s="28" t="s">
        <v>13</v>
      </c>
      <c r="I17" s="28" t="s">
        <v>6</v>
      </c>
      <c r="K17" s="10" t="s">
        <v>14</v>
      </c>
      <c r="L17" s="10" t="s">
        <v>15</v>
      </c>
      <c r="M17" s="10" t="s">
        <v>16</v>
      </c>
      <c r="N17" s="10" t="s">
        <v>15</v>
      </c>
      <c r="O17" s="10" t="s">
        <v>17</v>
      </c>
      <c r="P17" s="10" t="s">
        <v>15</v>
      </c>
      <c r="Q17" s="10" t="s">
        <v>18</v>
      </c>
    </row>
    <row r="18" s="55" customFormat="true" ht="132" hidden="false" customHeight="true" outlineLevel="0" collapsed="false">
      <c r="A18" s="42" t="s">
        <v>38</v>
      </c>
      <c r="B18" s="43" t="s">
        <v>39</v>
      </c>
      <c r="C18" s="44" t="s">
        <v>40</v>
      </c>
      <c r="D18" s="45" t="n">
        <f aca="false">80+10</f>
        <v>90</v>
      </c>
      <c r="E18" s="46" t="s">
        <v>12</v>
      </c>
      <c r="F18" s="45" t="n">
        <v>1</v>
      </c>
      <c r="G18" s="45" t="s">
        <v>41</v>
      </c>
      <c r="H18" s="47" t="n">
        <v>150</v>
      </c>
      <c r="I18" s="47" t="n">
        <f aca="false">D18*F18*H18</f>
        <v>13500</v>
      </c>
      <c r="J18" s="48"/>
      <c r="K18" s="49" t="s">
        <v>42</v>
      </c>
      <c r="L18" s="50" t="n">
        <v>160</v>
      </c>
      <c r="M18" s="51"/>
      <c r="N18" s="52"/>
      <c r="O18" s="53"/>
      <c r="P18" s="52"/>
      <c r="Q18" s="54" t="n">
        <f aca="false">IF(COUNT(L18,N18,P18)&gt;0,AVERAGE(L18,N18,P18),"")</f>
        <v>160</v>
      </c>
    </row>
    <row r="19" customFormat="false" ht="66" hidden="false" customHeight="true" outlineLevel="0" collapsed="false">
      <c r="A19" s="42" t="s">
        <v>43</v>
      </c>
      <c r="B19" s="43" t="s">
        <v>44</v>
      </c>
      <c r="C19" s="44" t="s">
        <v>45</v>
      </c>
      <c r="D19" s="45" t="n">
        <f aca="false">120*2+30</f>
        <v>270</v>
      </c>
      <c r="E19" s="46" t="s">
        <v>12</v>
      </c>
      <c r="F19" s="45" t="n">
        <v>1</v>
      </c>
      <c r="G19" s="45" t="s">
        <v>41</v>
      </c>
      <c r="H19" s="47" t="n">
        <v>50</v>
      </c>
      <c r="I19" s="47" t="n">
        <f aca="false">D19*F19*H19</f>
        <v>13500</v>
      </c>
      <c r="J19" s="48"/>
      <c r="K19" s="49" t="s">
        <v>46</v>
      </c>
      <c r="L19" s="50" t="n">
        <v>123.136667</v>
      </c>
      <c r="M19" s="51"/>
      <c r="N19" s="52"/>
      <c r="O19" s="53"/>
      <c r="P19" s="52"/>
      <c r="Q19" s="54" t="n">
        <f aca="false">IF(COUNT(L19,N19,P19)&gt;0,AVERAGE(L19,N19,P19),"")</f>
        <v>123.136667</v>
      </c>
    </row>
    <row r="20" s="55" customFormat="true" ht="118.5" hidden="false" customHeight="true" outlineLevel="0" collapsed="false">
      <c r="A20" s="42" t="s">
        <v>47</v>
      </c>
      <c r="B20" s="43" t="s">
        <v>48</v>
      </c>
      <c r="C20" s="44" t="s">
        <v>49</v>
      </c>
      <c r="D20" s="45" t="n">
        <f aca="false">80+10</f>
        <v>90</v>
      </c>
      <c r="E20" s="46" t="s">
        <v>12</v>
      </c>
      <c r="F20" s="45" t="n">
        <v>1</v>
      </c>
      <c r="G20" s="45" t="s">
        <v>41</v>
      </c>
      <c r="H20" s="47" t="n">
        <v>40</v>
      </c>
      <c r="I20" s="47" t="n">
        <f aca="false">D20*F20*H20</f>
        <v>3600</v>
      </c>
      <c r="J20" s="48"/>
      <c r="K20" s="49" t="s">
        <v>50</v>
      </c>
      <c r="L20" s="56" t="n">
        <v>399</v>
      </c>
      <c r="M20" s="57"/>
      <c r="N20" s="52"/>
      <c r="O20" s="53"/>
      <c r="P20" s="52"/>
      <c r="Q20" s="54" t="n">
        <f aca="false">IF(COUNT(L20,N20,P20)&gt;0,AVERAGE(L20,N20,P20),"")</f>
        <v>399</v>
      </c>
    </row>
    <row r="21" customFormat="false" ht="14.25" hidden="false" customHeight="true" outlineLevel="0" collapsed="false">
      <c r="A21" s="37"/>
      <c r="B21" s="37"/>
      <c r="C21" s="37"/>
      <c r="D21" s="37"/>
      <c r="E21" s="37"/>
      <c r="F21" s="37"/>
      <c r="G21" s="37"/>
      <c r="H21" s="38"/>
      <c r="I21" s="27"/>
      <c r="K21" s="39"/>
      <c r="L21" s="40"/>
      <c r="Q21" s="41"/>
    </row>
    <row r="22" customFormat="false" ht="14.25" hidden="false" customHeight="true" outlineLevel="0" collapsed="false">
      <c r="A22" s="3" t="s">
        <v>1</v>
      </c>
      <c r="B22" s="4" t="s">
        <v>2</v>
      </c>
      <c r="D22" s="4" t="s">
        <v>3</v>
      </c>
      <c r="E22" s="4" t="s">
        <v>4</v>
      </c>
      <c r="F22" s="4" t="s">
        <v>5</v>
      </c>
      <c r="I22" s="4" t="s">
        <v>6</v>
      </c>
    </row>
    <row r="23" customFormat="false" ht="14.25" hidden="false" customHeight="true" outlineLevel="0" collapsed="false">
      <c r="A23" s="5" t="n">
        <v>4</v>
      </c>
      <c r="B23" s="6" t="s">
        <v>51</v>
      </c>
      <c r="E23" s="7" t="s">
        <v>8</v>
      </c>
      <c r="F23" s="7" t="s">
        <v>9</v>
      </c>
      <c r="I23" s="8" t="n">
        <f aca="false">SUM(I25:I25)</f>
        <v>103680</v>
      </c>
    </row>
    <row r="24" customFormat="false" ht="14.25" hidden="false" customHeight="true" outlineLevel="0" collapsed="false">
      <c r="A24" s="28" t="s">
        <v>1</v>
      </c>
      <c r="B24" s="28" t="s">
        <v>10</v>
      </c>
      <c r="C24" s="28" t="s">
        <v>11</v>
      </c>
      <c r="D24" s="28" t="s">
        <v>3</v>
      </c>
      <c r="E24" s="28" t="s">
        <v>12</v>
      </c>
      <c r="F24" s="28" t="s">
        <v>4</v>
      </c>
      <c r="G24" s="28" t="s">
        <v>12</v>
      </c>
      <c r="H24" s="28" t="s">
        <v>13</v>
      </c>
      <c r="I24" s="28" t="s">
        <v>6</v>
      </c>
      <c r="K24" s="10" t="s">
        <v>14</v>
      </c>
      <c r="L24" s="10" t="s">
        <v>15</v>
      </c>
      <c r="M24" s="10" t="s">
        <v>16</v>
      </c>
      <c r="N24" s="10" t="s">
        <v>15</v>
      </c>
      <c r="O24" s="10" t="s">
        <v>17</v>
      </c>
      <c r="P24" s="10" t="s">
        <v>15</v>
      </c>
      <c r="Q24" s="10" t="s">
        <v>18</v>
      </c>
    </row>
    <row r="25" customFormat="false" ht="52.5" hidden="false" customHeight="true" outlineLevel="0" collapsed="false">
      <c r="A25" s="58" t="s">
        <v>52</v>
      </c>
      <c r="B25" s="59" t="s">
        <v>53</v>
      </c>
      <c r="C25" s="60" t="s">
        <v>54</v>
      </c>
      <c r="D25" s="61" t="n">
        <f aca="false">120*2*4.5</f>
        <v>1080</v>
      </c>
      <c r="E25" s="61" t="s">
        <v>12</v>
      </c>
      <c r="F25" s="61" t="n">
        <v>12</v>
      </c>
      <c r="G25" s="62" t="s">
        <v>23</v>
      </c>
      <c r="H25" s="63" t="n">
        <v>8</v>
      </c>
      <c r="I25" s="63" t="n">
        <f aca="false">D25*F25*H25</f>
        <v>103680</v>
      </c>
      <c r="J25" s="64"/>
      <c r="K25" s="65" t="s">
        <v>55</v>
      </c>
      <c r="L25" s="66" t="n">
        <v>20.12</v>
      </c>
      <c r="M25" s="67"/>
      <c r="N25" s="68"/>
      <c r="O25" s="69"/>
      <c r="P25" s="68"/>
      <c r="Q25" s="70" t="n">
        <f aca="false">IF(COUNT(L25,N25,P25)&gt;0,AVERAGE(L25,N25,P25),"")</f>
        <v>20.12</v>
      </c>
    </row>
    <row r="26" customFormat="false" ht="14.25" hidden="false" customHeight="true" outlineLevel="0" collapsed="false">
      <c r="A26" s="37"/>
      <c r="B26" s="37"/>
      <c r="C26" s="37"/>
      <c r="D26" s="37"/>
      <c r="E26" s="37"/>
      <c r="F26" s="37"/>
      <c r="G26" s="37"/>
      <c r="H26" s="38"/>
      <c r="I26" s="27"/>
      <c r="K26" s="39"/>
      <c r="L26" s="40"/>
      <c r="Q26" s="41"/>
    </row>
    <row r="27" customFormat="false" ht="14.25" hidden="false" customHeight="true" outlineLevel="0" collapsed="false">
      <c r="A27" s="3" t="s">
        <v>1</v>
      </c>
      <c r="B27" s="4" t="s">
        <v>2</v>
      </c>
      <c r="D27" s="4" t="s">
        <v>3</v>
      </c>
      <c r="E27" s="4" t="s">
        <v>4</v>
      </c>
      <c r="F27" s="4" t="s">
        <v>5</v>
      </c>
      <c r="I27" s="4" t="s">
        <v>6</v>
      </c>
    </row>
    <row r="28" customFormat="false" ht="14.25" hidden="false" customHeight="true" outlineLevel="0" collapsed="false">
      <c r="A28" s="5" t="n">
        <v>5</v>
      </c>
      <c r="B28" s="6" t="s">
        <v>56</v>
      </c>
      <c r="E28" s="7" t="s">
        <v>8</v>
      </c>
      <c r="F28" s="7" t="s">
        <v>9</v>
      </c>
      <c r="I28" s="8" t="n">
        <f aca="false">SUM(I30:I61)</f>
        <v>12181.35</v>
      </c>
    </row>
    <row r="29" customFormat="false" ht="14.25" hidden="false" customHeight="true" outlineLevel="0" collapsed="false">
      <c r="A29" s="28" t="s">
        <v>1</v>
      </c>
      <c r="B29" s="28" t="s">
        <v>10</v>
      </c>
      <c r="C29" s="28" t="s">
        <v>11</v>
      </c>
      <c r="D29" s="28" t="s">
        <v>3</v>
      </c>
      <c r="E29" s="28" t="s">
        <v>12</v>
      </c>
      <c r="F29" s="28" t="s">
        <v>4</v>
      </c>
      <c r="G29" s="28" t="s">
        <v>12</v>
      </c>
      <c r="H29" s="28" t="s">
        <v>13</v>
      </c>
      <c r="I29" s="28" t="s">
        <v>6</v>
      </c>
      <c r="K29" s="10" t="s">
        <v>14</v>
      </c>
      <c r="L29" s="10" t="s">
        <v>15</v>
      </c>
      <c r="M29" s="10" t="s">
        <v>16</v>
      </c>
      <c r="N29" s="10" t="s">
        <v>15</v>
      </c>
      <c r="O29" s="10" t="s">
        <v>17</v>
      </c>
      <c r="P29" s="10" t="s">
        <v>15</v>
      </c>
      <c r="Q29" s="10" t="s">
        <v>18</v>
      </c>
    </row>
    <row r="30" s="55" customFormat="true" ht="66" hidden="false" customHeight="true" outlineLevel="0" collapsed="false">
      <c r="A30" s="71" t="s">
        <v>57</v>
      </c>
      <c r="B30" s="12" t="s">
        <v>58</v>
      </c>
      <c r="C30" s="13" t="s">
        <v>59</v>
      </c>
      <c r="D30" s="14" t="n">
        <v>20</v>
      </c>
      <c r="E30" s="15" t="s">
        <v>12</v>
      </c>
      <c r="F30" s="14" t="n">
        <v>1</v>
      </c>
      <c r="G30" s="16" t="s">
        <v>12</v>
      </c>
      <c r="H30" s="72" t="n">
        <v>60</v>
      </c>
      <c r="I30" s="17" t="n">
        <f aca="false">D30*F30*H30</f>
        <v>1200</v>
      </c>
      <c r="J30" s="18"/>
      <c r="K30" s="26" t="s">
        <v>60</v>
      </c>
      <c r="L30" s="25" t="n">
        <v>110.253231</v>
      </c>
      <c r="M30" s="21"/>
      <c r="N30" s="22"/>
      <c r="O30" s="23"/>
      <c r="P30" s="22"/>
      <c r="Q30" s="24" t="n">
        <f aca="false">IF(COUNT(L30,N30,P30)&gt;0,AVERAGE(L30,N30,P30),"")</f>
        <v>110.253231</v>
      </c>
    </row>
    <row r="31" customFormat="false" ht="26.25" hidden="false" customHeight="true" outlineLevel="0" collapsed="false">
      <c r="A31" s="15" t="s">
        <v>61</v>
      </c>
      <c r="B31" s="12" t="s">
        <v>62</v>
      </c>
      <c r="C31" s="13" t="s">
        <v>63</v>
      </c>
      <c r="D31" s="15" t="n">
        <v>6</v>
      </c>
      <c r="E31" s="15" t="s">
        <v>12</v>
      </c>
      <c r="F31" s="15" t="n">
        <v>1</v>
      </c>
      <c r="G31" s="73" t="s">
        <v>12</v>
      </c>
      <c r="H31" s="72" t="n">
        <v>50</v>
      </c>
      <c r="I31" s="17" t="n">
        <f aca="false">D31*F31*H31</f>
        <v>300</v>
      </c>
      <c r="J31" s="18"/>
      <c r="K31" s="26" t="s">
        <v>64</v>
      </c>
      <c r="L31" s="74" t="n">
        <v>125.176698</v>
      </c>
      <c r="M31" s="75"/>
      <c r="N31" s="22"/>
      <c r="O31" s="23"/>
      <c r="P31" s="22"/>
      <c r="Q31" s="24" t="n">
        <f aca="false">IF(COUNT(L31,N31,P31)&gt;0,AVERAGE(L31,N31,P31),"")</f>
        <v>125.176698</v>
      </c>
    </row>
    <row r="32" customFormat="false" ht="42.75" hidden="false" customHeight="true" outlineLevel="0" collapsed="false">
      <c r="A32" s="15" t="s">
        <v>65</v>
      </c>
      <c r="B32" s="12" t="s">
        <v>66</v>
      </c>
      <c r="C32" s="13" t="s">
        <v>67</v>
      </c>
      <c r="D32" s="14" t="n">
        <v>8</v>
      </c>
      <c r="E32" s="15" t="s">
        <v>12</v>
      </c>
      <c r="F32" s="14" t="n">
        <v>1</v>
      </c>
      <c r="G32" s="16" t="s">
        <v>12</v>
      </c>
      <c r="H32" s="72" t="n">
        <v>127.28</v>
      </c>
      <c r="I32" s="17" t="n">
        <f aca="false">D32*F32*H32</f>
        <v>1018.24</v>
      </c>
      <c r="J32" s="76"/>
      <c r="K32" s="26" t="s">
        <v>68</v>
      </c>
      <c r="L32" s="74" t="n">
        <v>127.28</v>
      </c>
      <c r="M32" s="75"/>
      <c r="N32" s="22"/>
      <c r="O32" s="23"/>
      <c r="P32" s="22"/>
      <c r="Q32" s="24" t="n">
        <f aca="false">IF(COUNT(L32,N32,P32)&gt;0,AVERAGE(L32,N32,P32),"")</f>
        <v>127.28</v>
      </c>
    </row>
    <row r="33" customFormat="false" ht="132" hidden="false" customHeight="true" outlineLevel="0" collapsed="false">
      <c r="A33" s="15" t="s">
        <v>69</v>
      </c>
      <c r="B33" s="12" t="s">
        <v>70</v>
      </c>
      <c r="C33" s="13" t="s">
        <v>71</v>
      </c>
      <c r="D33" s="14" t="n">
        <v>6</v>
      </c>
      <c r="E33" s="15" t="s">
        <v>12</v>
      </c>
      <c r="F33" s="14" t="n">
        <v>1</v>
      </c>
      <c r="G33" s="16" t="s">
        <v>12</v>
      </c>
      <c r="H33" s="72" t="n">
        <v>140</v>
      </c>
      <c r="I33" s="17" t="n">
        <f aca="false">D33*F33*H33</f>
        <v>840</v>
      </c>
      <c r="J33" s="18"/>
      <c r="K33" s="77" t="s">
        <v>72</v>
      </c>
      <c r="L33" s="74" t="n">
        <v>140</v>
      </c>
      <c r="M33" s="75"/>
      <c r="N33" s="22"/>
      <c r="O33" s="23"/>
      <c r="P33" s="22"/>
      <c r="Q33" s="24" t="n">
        <f aca="false">IF(COUNT(L33,N33,P33)&gt;0,AVERAGE(L33,N33,P33),"")</f>
        <v>140</v>
      </c>
    </row>
    <row r="34" customFormat="false" ht="78.75" hidden="false" customHeight="true" outlineLevel="0" collapsed="false">
      <c r="A34" s="15" t="s">
        <v>73</v>
      </c>
      <c r="B34" s="12" t="s">
        <v>74</v>
      </c>
      <c r="C34" s="13" t="s">
        <v>75</v>
      </c>
      <c r="D34" s="14" t="n">
        <v>8</v>
      </c>
      <c r="E34" s="15" t="s">
        <v>76</v>
      </c>
      <c r="F34" s="14" t="n">
        <v>1</v>
      </c>
      <c r="G34" s="16" t="s">
        <v>12</v>
      </c>
      <c r="H34" s="72" t="n">
        <v>112.1</v>
      </c>
      <c r="I34" s="17" t="n">
        <f aca="false">D34*F34*H34</f>
        <v>896.8</v>
      </c>
      <c r="J34" s="18"/>
      <c r="K34" s="77" t="s">
        <v>77</v>
      </c>
      <c r="L34" s="74" t="n">
        <v>112.1</v>
      </c>
      <c r="M34" s="75"/>
      <c r="N34" s="22"/>
      <c r="O34" s="23"/>
      <c r="P34" s="22"/>
      <c r="Q34" s="24" t="n">
        <f aca="false">IF(COUNT(L34,N34,P34)&gt;0,AVERAGE(L34,N34,P34),"")</f>
        <v>112.1</v>
      </c>
    </row>
    <row r="35" customFormat="false" ht="78.75" hidden="false" customHeight="true" outlineLevel="0" collapsed="false">
      <c r="A35" s="15" t="s">
        <v>78</v>
      </c>
      <c r="B35" s="12" t="s">
        <v>79</v>
      </c>
      <c r="C35" s="13" t="s">
        <v>80</v>
      </c>
      <c r="D35" s="14" t="n">
        <v>6</v>
      </c>
      <c r="E35" s="15" t="s">
        <v>76</v>
      </c>
      <c r="F35" s="14" t="n">
        <v>1</v>
      </c>
      <c r="G35" s="16" t="s">
        <v>12</v>
      </c>
      <c r="H35" s="72" t="n">
        <v>93.92</v>
      </c>
      <c r="I35" s="17" t="n">
        <f aca="false">D35*F35*H35</f>
        <v>563.52</v>
      </c>
      <c r="J35" s="18"/>
      <c r="K35" s="77" t="s">
        <v>81</v>
      </c>
      <c r="L35" s="74" t="n">
        <v>93.92</v>
      </c>
      <c r="M35" s="75"/>
      <c r="N35" s="22"/>
      <c r="O35" s="23"/>
      <c r="P35" s="22"/>
      <c r="Q35" s="24" t="n">
        <f aca="false">IF(COUNT(L35,N35,P35)&gt;0,AVERAGE(L35,N35,P35),"")</f>
        <v>93.92</v>
      </c>
    </row>
    <row r="36" customFormat="false" ht="42.75" hidden="false" customHeight="true" outlineLevel="0" collapsed="false">
      <c r="A36" s="11" t="s">
        <v>82</v>
      </c>
      <c r="B36" s="12" t="s">
        <v>83</v>
      </c>
      <c r="C36" s="13" t="s">
        <v>84</v>
      </c>
      <c r="D36" s="14" t="n">
        <v>8</v>
      </c>
      <c r="E36" s="15" t="s">
        <v>76</v>
      </c>
      <c r="F36" s="14" t="n">
        <v>1</v>
      </c>
      <c r="G36" s="16" t="s">
        <v>12</v>
      </c>
      <c r="H36" s="72" t="n">
        <v>130</v>
      </c>
      <c r="I36" s="17" t="n">
        <f aca="false">D36*F36*H36</f>
        <v>1040</v>
      </c>
      <c r="J36" s="18"/>
      <c r="K36" s="26" t="s">
        <v>85</v>
      </c>
      <c r="L36" s="25" t="n">
        <v>239.49175</v>
      </c>
      <c r="M36" s="75"/>
      <c r="N36" s="22"/>
      <c r="O36" s="23"/>
      <c r="P36" s="22"/>
      <c r="Q36" s="24" t="n">
        <f aca="false">IF(COUNT(L36,N36,P36)&gt;0,AVERAGE(L36,N36,P36),"")</f>
        <v>239.49175</v>
      </c>
    </row>
    <row r="37" customFormat="false" ht="78.75" hidden="false" customHeight="true" outlineLevel="0" collapsed="false">
      <c r="A37" s="11" t="s">
        <v>86</v>
      </c>
      <c r="B37" s="12" t="s">
        <v>87</v>
      </c>
      <c r="C37" s="13" t="s">
        <v>88</v>
      </c>
      <c r="D37" s="14" t="n">
        <v>6</v>
      </c>
      <c r="E37" s="15" t="s">
        <v>12</v>
      </c>
      <c r="F37" s="14" t="n">
        <v>1</v>
      </c>
      <c r="G37" s="16" t="s">
        <v>12</v>
      </c>
      <c r="H37" s="72" t="n">
        <v>90</v>
      </c>
      <c r="I37" s="17" t="n">
        <f aca="false">D37*F37*H37</f>
        <v>540</v>
      </c>
      <c r="J37" s="18"/>
      <c r="K37" s="26" t="s">
        <v>89</v>
      </c>
      <c r="L37" s="25" t="n">
        <v>90</v>
      </c>
      <c r="M37" s="75"/>
      <c r="N37" s="22"/>
      <c r="O37" s="23"/>
      <c r="P37" s="22"/>
      <c r="Q37" s="24" t="n">
        <f aca="false">IF(COUNT(L37,N37,P37)&gt;0,AVERAGE(L37,N37,P37),"")</f>
        <v>90</v>
      </c>
    </row>
    <row r="38" customFormat="false" ht="66" hidden="false" customHeight="true" outlineLevel="0" collapsed="false">
      <c r="A38" s="11" t="s">
        <v>90</v>
      </c>
      <c r="B38" s="12" t="s">
        <v>91</v>
      </c>
      <c r="C38" s="13" t="s">
        <v>92</v>
      </c>
      <c r="D38" s="14" t="n">
        <v>80</v>
      </c>
      <c r="E38" s="15" t="s">
        <v>12</v>
      </c>
      <c r="F38" s="14" t="n">
        <v>1</v>
      </c>
      <c r="G38" s="16" t="s">
        <v>12</v>
      </c>
      <c r="H38" s="72" t="n">
        <v>10.95</v>
      </c>
      <c r="I38" s="17" t="n">
        <f aca="false">D38*F38*H38</f>
        <v>876</v>
      </c>
      <c r="J38" s="18"/>
      <c r="K38" s="26" t="s">
        <v>93</v>
      </c>
      <c r="L38" s="25" t="n">
        <v>10.95</v>
      </c>
      <c r="M38" s="75"/>
      <c r="N38" s="22"/>
      <c r="O38" s="23"/>
      <c r="P38" s="22"/>
      <c r="Q38" s="24" t="n">
        <f aca="false">IF(COUNT(L38,N38,P38)&gt;0,AVERAGE(L38,N38,P38),"")</f>
        <v>10.95</v>
      </c>
    </row>
    <row r="39" customFormat="false" ht="92.25" hidden="false" customHeight="true" outlineLevel="0" collapsed="false">
      <c r="A39" s="11" t="s">
        <v>94</v>
      </c>
      <c r="B39" s="12" t="s">
        <v>95</v>
      </c>
      <c r="C39" s="13" t="s">
        <v>96</v>
      </c>
      <c r="D39" s="78" t="n">
        <v>15</v>
      </c>
      <c r="E39" s="11" t="s">
        <v>76</v>
      </c>
      <c r="F39" s="78" t="n">
        <v>1</v>
      </c>
      <c r="G39" s="78" t="s">
        <v>12</v>
      </c>
      <c r="H39" s="79" t="n">
        <v>24.41</v>
      </c>
      <c r="I39" s="80" t="n">
        <f aca="false">D39*F39*H39</f>
        <v>366.15</v>
      </c>
      <c r="J39" s="18"/>
      <c r="K39" s="26" t="s">
        <v>97</v>
      </c>
      <c r="L39" s="25" t="n">
        <v>24.4144</v>
      </c>
      <c r="M39" s="75"/>
      <c r="N39" s="22"/>
      <c r="O39" s="23"/>
      <c r="P39" s="22"/>
      <c r="Q39" s="24" t="n">
        <f aca="false">IF(COUNT(L39,N39,P39)&gt;0,AVERAGE(L39,N39,P39),"")</f>
        <v>24.4144</v>
      </c>
    </row>
    <row r="40" customFormat="false" ht="66" hidden="false" customHeight="true" outlineLevel="0" collapsed="false">
      <c r="A40" s="11" t="s">
        <v>98</v>
      </c>
      <c r="B40" s="12" t="s">
        <v>99</v>
      </c>
      <c r="C40" s="13" t="s">
        <v>100</v>
      </c>
      <c r="D40" s="14" t="n">
        <v>5</v>
      </c>
      <c r="E40" s="15" t="s">
        <v>76</v>
      </c>
      <c r="F40" s="14" t="n">
        <v>1</v>
      </c>
      <c r="G40" s="16" t="s">
        <v>12</v>
      </c>
      <c r="H40" s="72" t="n">
        <v>60.42</v>
      </c>
      <c r="I40" s="17" t="n">
        <f aca="false">D40*F40*H40</f>
        <v>302.1</v>
      </c>
      <c r="J40" s="18"/>
      <c r="K40" s="26" t="s">
        <v>101</v>
      </c>
      <c r="L40" s="25" t="n">
        <v>60.423</v>
      </c>
      <c r="M40" s="21"/>
      <c r="N40" s="22"/>
      <c r="O40" s="23"/>
      <c r="P40" s="22"/>
      <c r="Q40" s="24" t="n">
        <f aca="false">IF(COUNT(L40,N40,P40)&gt;0,AVERAGE(L40,N40,P40),"")</f>
        <v>60.423</v>
      </c>
    </row>
    <row r="41" customFormat="false" ht="66" hidden="false" customHeight="true" outlineLevel="0" collapsed="false">
      <c r="A41" s="81" t="s">
        <v>102</v>
      </c>
      <c r="B41" s="82" t="s">
        <v>103</v>
      </c>
      <c r="C41" s="83" t="s">
        <v>104</v>
      </c>
      <c r="D41" s="84" t="n">
        <v>10</v>
      </c>
      <c r="E41" s="81" t="s">
        <v>12</v>
      </c>
      <c r="F41" s="84" t="n">
        <v>1</v>
      </c>
      <c r="G41" s="84" t="s">
        <v>12</v>
      </c>
      <c r="H41" s="85" t="n">
        <v>65.5</v>
      </c>
      <c r="I41" s="86" t="n">
        <f aca="false">D41*F41*H41</f>
        <v>655</v>
      </c>
      <c r="J41" s="87"/>
      <c r="K41" s="88" t="s">
        <v>105</v>
      </c>
      <c r="L41" s="89" t="n">
        <v>65.495</v>
      </c>
      <c r="M41" s="90"/>
      <c r="N41" s="91"/>
      <c r="O41" s="92"/>
      <c r="P41" s="91"/>
      <c r="Q41" s="93" t="n">
        <f aca="false">IF(COUNT(L41,N41,P41)&gt;0,AVERAGE(L41,N41,P41),"")</f>
        <v>65.495</v>
      </c>
    </row>
    <row r="42" customFormat="false" ht="171" hidden="false" customHeight="true" outlineLevel="0" collapsed="false">
      <c r="A42" s="81" t="s">
        <v>106</v>
      </c>
      <c r="B42" s="82" t="s">
        <v>107</v>
      </c>
      <c r="C42" s="83" t="s">
        <v>108</v>
      </c>
      <c r="D42" s="84" t="n">
        <v>20</v>
      </c>
      <c r="E42" s="81" t="s">
        <v>12</v>
      </c>
      <c r="F42" s="84" t="n">
        <v>1</v>
      </c>
      <c r="G42" s="84" t="s">
        <v>12</v>
      </c>
      <c r="H42" s="85" t="n">
        <v>11.4</v>
      </c>
      <c r="I42" s="86" t="n">
        <f aca="false">D42*F42*H42</f>
        <v>228</v>
      </c>
      <c r="J42" s="87"/>
      <c r="K42" s="88" t="s">
        <v>109</v>
      </c>
      <c r="L42" s="89" t="n">
        <v>11.404667</v>
      </c>
      <c r="M42" s="90"/>
      <c r="N42" s="91"/>
      <c r="O42" s="92"/>
      <c r="P42" s="91"/>
      <c r="Q42" s="93" t="n">
        <f aca="false">IF(COUNT(L42,N42,P42)&gt;0,AVERAGE(L42,N42,P42),"")</f>
        <v>11.404667</v>
      </c>
    </row>
    <row r="43" customFormat="false" ht="105" hidden="false" customHeight="true" outlineLevel="0" collapsed="false">
      <c r="A43" s="81" t="s">
        <v>110</v>
      </c>
      <c r="B43" s="82" t="s">
        <v>111</v>
      </c>
      <c r="C43" s="83" t="s">
        <v>112</v>
      </c>
      <c r="D43" s="84" t="n">
        <v>10</v>
      </c>
      <c r="E43" s="81" t="s">
        <v>12</v>
      </c>
      <c r="F43" s="84" t="n">
        <v>1</v>
      </c>
      <c r="G43" s="84" t="s">
        <v>12</v>
      </c>
      <c r="H43" s="85" t="n">
        <v>5.29</v>
      </c>
      <c r="I43" s="86" t="n">
        <f aca="false">D43*F43*H43</f>
        <v>52.9</v>
      </c>
      <c r="J43" s="87"/>
      <c r="K43" s="88" t="s">
        <v>113</v>
      </c>
      <c r="L43" s="89" t="n">
        <v>5.291867</v>
      </c>
      <c r="M43" s="90"/>
      <c r="N43" s="91"/>
      <c r="O43" s="92"/>
      <c r="P43" s="91"/>
      <c r="Q43" s="93" t="n">
        <f aca="false">IF(COUNT(L43,N43,P43)&gt;0,AVERAGE(L43,N43,P43),"")</f>
        <v>5.291867</v>
      </c>
    </row>
    <row r="44" customFormat="false" ht="14.25" hidden="false" customHeight="true" outlineLevel="0" collapsed="false">
      <c r="A44" s="94" t="s">
        <v>114</v>
      </c>
      <c r="B44" s="95" t="s">
        <v>115</v>
      </c>
      <c r="C44" s="96" t="s">
        <v>116</v>
      </c>
      <c r="D44" s="97" t="n">
        <v>10</v>
      </c>
      <c r="E44" s="98" t="s">
        <v>12</v>
      </c>
      <c r="F44" s="97" t="n">
        <v>1</v>
      </c>
      <c r="G44" s="99" t="s">
        <v>12</v>
      </c>
      <c r="H44" s="100" t="n">
        <v>3.21</v>
      </c>
      <c r="I44" s="101" t="n">
        <f aca="false">D44*F44*H44</f>
        <v>32.1</v>
      </c>
      <c r="J44" s="102"/>
      <c r="K44" s="103" t="s">
        <v>117</v>
      </c>
      <c r="L44" s="104" t="n">
        <v>3.208</v>
      </c>
      <c r="M44" s="105"/>
      <c r="N44" s="106"/>
      <c r="O44" s="107"/>
      <c r="P44" s="106"/>
      <c r="Q44" s="108" t="n">
        <f aca="false">IF(COUNT(L44,N44,P44)&gt;0,AVERAGE(L44,N44,P44),"")</f>
        <v>3.208</v>
      </c>
    </row>
    <row r="45" customFormat="false" ht="14.25" hidden="false" customHeight="true" outlineLevel="0" collapsed="false">
      <c r="A45" s="109" t="s">
        <v>118</v>
      </c>
      <c r="B45" s="82" t="s">
        <v>119</v>
      </c>
      <c r="C45" s="110" t="s">
        <v>120</v>
      </c>
      <c r="D45" s="111" t="n">
        <v>2</v>
      </c>
      <c r="E45" s="111" t="s">
        <v>12</v>
      </c>
      <c r="F45" s="111" t="n">
        <v>1</v>
      </c>
      <c r="G45" s="102" t="s">
        <v>12</v>
      </c>
      <c r="H45" s="112" t="n">
        <v>42.67</v>
      </c>
      <c r="I45" s="111" t="n">
        <f aca="false">D45*F45*H45</f>
        <v>85.34</v>
      </c>
      <c r="J45" s="102"/>
      <c r="K45" s="113" t="s">
        <v>121</v>
      </c>
      <c r="L45" s="114" t="n">
        <v>42.670833</v>
      </c>
      <c r="M45" s="102"/>
      <c r="N45" s="102"/>
      <c r="O45" s="102"/>
      <c r="P45" s="102"/>
      <c r="Q45" s="102" t="n">
        <f aca="false">IF(COUNT(L45,N45,P45)&gt;0,AVERAGE(L45,N45,P45),"")</f>
        <v>42.670833</v>
      </c>
    </row>
    <row r="46" customFormat="false" ht="14.25" hidden="false" customHeight="true" outlineLevel="0" collapsed="false">
      <c r="A46" s="115" t="s">
        <v>122</v>
      </c>
      <c r="B46" s="116" t="s">
        <v>123</v>
      </c>
      <c r="C46" s="110" t="s">
        <v>124</v>
      </c>
      <c r="D46" s="102" t="n">
        <v>10</v>
      </c>
      <c r="E46" s="117" t="s">
        <v>12</v>
      </c>
      <c r="F46" s="117" t="n">
        <v>1</v>
      </c>
      <c r="G46" s="102" t="s">
        <v>12</v>
      </c>
      <c r="H46" s="112" t="n">
        <v>13.13</v>
      </c>
      <c r="I46" s="118" t="n">
        <f aca="false">D46*F46*H46</f>
        <v>131.3</v>
      </c>
      <c r="J46" s="102"/>
      <c r="K46" s="113" t="s">
        <v>125</v>
      </c>
      <c r="L46" s="114" t="n">
        <v>13.133</v>
      </c>
      <c r="M46" s="102"/>
      <c r="N46" s="102"/>
      <c r="O46" s="102"/>
      <c r="P46" s="102"/>
      <c r="Q46" s="102" t="n">
        <f aca="false">IF(COUNT(L46,N46,P46)&gt;0,AVERAGE(L46,N46,P46),"")</f>
        <v>13.133</v>
      </c>
    </row>
    <row r="47" customFormat="false" ht="14.25" hidden="false" customHeight="true" outlineLevel="0" collapsed="false">
      <c r="A47" s="119" t="s">
        <v>126</v>
      </c>
      <c r="B47" s="82" t="s">
        <v>127</v>
      </c>
      <c r="C47" s="83" t="s">
        <v>128</v>
      </c>
      <c r="D47" s="119" t="n">
        <v>2</v>
      </c>
      <c r="E47" s="119" t="s">
        <v>12</v>
      </c>
      <c r="F47" s="119" t="n">
        <v>1</v>
      </c>
      <c r="G47" s="119" t="s">
        <v>12</v>
      </c>
      <c r="H47" s="120" t="n">
        <v>121.08</v>
      </c>
      <c r="I47" s="119" t="n">
        <f aca="false">D47*F47*H47</f>
        <v>242.16</v>
      </c>
      <c r="J47" s="102"/>
      <c r="K47" s="121" t="s">
        <v>129</v>
      </c>
      <c r="L47" s="122" t="n">
        <v>121.085</v>
      </c>
      <c r="M47" s="123"/>
      <c r="N47" s="123"/>
      <c r="O47" s="123"/>
      <c r="P47" s="123"/>
      <c r="Q47" s="123" t="n">
        <f aca="false">IF(COUNT(L47,N47,P47)&gt;0,AVERAGE(L47,N47,P47),"")</f>
        <v>121.085</v>
      </c>
    </row>
    <row r="48" customFormat="false" ht="39" hidden="false" customHeight="true" outlineLevel="0" collapsed="false">
      <c r="A48" s="124" t="s">
        <v>130</v>
      </c>
      <c r="B48" s="82" t="s">
        <v>131</v>
      </c>
      <c r="C48" s="83" t="s">
        <v>132</v>
      </c>
      <c r="D48" s="125" t="n">
        <v>10</v>
      </c>
      <c r="E48" s="125" t="s">
        <v>12</v>
      </c>
      <c r="F48" s="125" t="n">
        <v>1</v>
      </c>
      <c r="G48" s="126" t="s">
        <v>12</v>
      </c>
      <c r="H48" s="127" t="n">
        <v>21.4</v>
      </c>
      <c r="I48" s="128" t="n">
        <f aca="false">D48*F48*H48</f>
        <v>214</v>
      </c>
      <c r="J48" s="87"/>
      <c r="K48" s="88" t="s">
        <v>133</v>
      </c>
      <c r="L48" s="129" t="n">
        <v>21.4</v>
      </c>
      <c r="M48" s="90"/>
      <c r="N48" s="91"/>
      <c r="O48" s="92"/>
      <c r="P48" s="91"/>
      <c r="Q48" s="93" t="n">
        <f aca="false">IF(COUNT(L48,N48,P48)&gt;0,AVERAGE(L48,N48,P48),"")</f>
        <v>21.4</v>
      </c>
    </row>
    <row r="49" customFormat="false" ht="14.25" hidden="false" customHeight="true" outlineLevel="0" collapsed="false">
      <c r="A49" s="94" t="s">
        <v>134</v>
      </c>
      <c r="B49" s="95" t="s">
        <v>135</v>
      </c>
      <c r="C49" s="96" t="s">
        <v>136</v>
      </c>
      <c r="D49" s="97" t="n">
        <v>4</v>
      </c>
      <c r="E49" s="98" t="s">
        <v>12</v>
      </c>
      <c r="F49" s="97" t="n">
        <v>1</v>
      </c>
      <c r="G49" s="99" t="s">
        <v>12</v>
      </c>
      <c r="H49" s="100" t="n">
        <v>90.6</v>
      </c>
      <c r="I49" s="101" t="n">
        <f aca="false">D49*F49*H49</f>
        <v>362.4</v>
      </c>
      <c r="J49" s="102"/>
      <c r="K49" s="103" t="s">
        <v>137</v>
      </c>
      <c r="L49" s="104" t="n">
        <v>90.6</v>
      </c>
      <c r="M49" s="105"/>
      <c r="N49" s="106"/>
      <c r="O49" s="107"/>
      <c r="P49" s="106"/>
      <c r="Q49" s="108" t="n">
        <f aca="false">IF(COUNT(L49,N49,P49)&gt;0,AVERAGE(L49,N49,P49),"")</f>
        <v>90.6</v>
      </c>
    </row>
    <row r="50" customFormat="false" ht="14.25" hidden="false" customHeight="true" outlineLevel="0" collapsed="false">
      <c r="A50" s="130" t="s">
        <v>138</v>
      </c>
      <c r="B50" s="131" t="s">
        <v>139</v>
      </c>
      <c r="C50" s="110" t="s">
        <v>140</v>
      </c>
      <c r="D50" s="102" t="n">
        <v>10</v>
      </c>
      <c r="E50" s="102" t="s">
        <v>76</v>
      </c>
      <c r="F50" s="102" t="n">
        <v>1</v>
      </c>
      <c r="G50" s="102" t="s">
        <v>12</v>
      </c>
      <c r="H50" s="112" t="n">
        <v>5.17</v>
      </c>
      <c r="I50" s="132" t="n">
        <f aca="false">D50*F50*H50</f>
        <v>51.7</v>
      </c>
      <c r="J50" s="102"/>
      <c r="K50" s="113" t="s">
        <v>141</v>
      </c>
      <c r="L50" s="114" t="n">
        <v>5.1714</v>
      </c>
      <c r="M50" s="102"/>
      <c r="N50" s="102"/>
      <c r="O50" s="102"/>
      <c r="P50" s="102"/>
      <c r="Q50" s="102" t="n">
        <f aca="false">IF(COUNT(L50,N50,P50)&gt;0,AVERAGE(L50,N50,P50),"")</f>
        <v>5.1714</v>
      </c>
    </row>
    <row r="51" customFormat="false" ht="19.4" hidden="false" customHeight="false" outlineLevel="0" collapsed="false">
      <c r="A51" s="102" t="s">
        <v>142</v>
      </c>
      <c r="B51" s="131" t="s">
        <v>143</v>
      </c>
      <c r="C51" s="110" t="s">
        <v>144</v>
      </c>
      <c r="D51" s="102" t="n">
        <v>6</v>
      </c>
      <c r="E51" s="102" t="s">
        <v>76</v>
      </c>
      <c r="F51" s="102" t="n">
        <v>1</v>
      </c>
      <c r="G51" s="102" t="s">
        <v>12</v>
      </c>
      <c r="H51" s="112" t="n">
        <v>10.34</v>
      </c>
      <c r="I51" s="102" t="n">
        <f aca="false">D51*F51*H51</f>
        <v>62.04</v>
      </c>
      <c r="J51" s="102"/>
      <c r="K51" s="113" t="s">
        <v>145</v>
      </c>
      <c r="L51" s="114" t="n">
        <v>10.335</v>
      </c>
      <c r="M51" s="102"/>
      <c r="N51" s="102"/>
      <c r="O51" s="102"/>
      <c r="P51" s="102"/>
      <c r="Q51" s="102" t="n">
        <f aca="false">IF(COUNT(L51,N51,P51)&gt;0,AVERAGE(L51,N51,P51),"")</f>
        <v>10.335</v>
      </c>
    </row>
    <row r="52" customFormat="false" ht="14.25" hidden="false" customHeight="true" outlineLevel="0" collapsed="false">
      <c r="A52" s="133" t="s">
        <v>146</v>
      </c>
      <c r="B52" s="131" t="s">
        <v>147</v>
      </c>
      <c r="C52" s="110" t="s">
        <v>148</v>
      </c>
      <c r="D52" s="102" t="n">
        <v>4</v>
      </c>
      <c r="E52" s="102" t="s">
        <v>76</v>
      </c>
      <c r="F52" s="102" t="n">
        <v>1</v>
      </c>
      <c r="G52" s="102" t="s">
        <v>12</v>
      </c>
      <c r="H52" s="112" t="n">
        <v>15.51</v>
      </c>
      <c r="I52" s="102" t="n">
        <f aca="false">D52*F52*H52</f>
        <v>62.04</v>
      </c>
      <c r="J52" s="102"/>
      <c r="K52" s="113" t="s">
        <v>149</v>
      </c>
      <c r="L52" s="114" t="n">
        <v>15.5064</v>
      </c>
      <c r="M52" s="102"/>
      <c r="N52" s="102"/>
      <c r="O52" s="102"/>
      <c r="P52" s="102"/>
      <c r="Q52" s="102" t="n">
        <f aca="false">IF(COUNT(L52,N52,P52)&gt;0,AVERAGE(L52,N52,P52),"")</f>
        <v>15.5064</v>
      </c>
    </row>
    <row r="53" customFormat="false" ht="14.25" hidden="false" customHeight="true" outlineLevel="0" collapsed="false">
      <c r="A53" s="102" t="s">
        <v>150</v>
      </c>
      <c r="B53" s="131" t="s">
        <v>151</v>
      </c>
      <c r="C53" s="110" t="s">
        <v>152</v>
      </c>
      <c r="D53" s="102" t="n">
        <v>2</v>
      </c>
      <c r="E53" s="102" t="s">
        <v>12</v>
      </c>
      <c r="F53" s="102" t="n">
        <v>1</v>
      </c>
      <c r="G53" s="102" t="s">
        <v>12</v>
      </c>
      <c r="H53" s="112" t="n">
        <v>182.88</v>
      </c>
      <c r="I53" s="102" t="n">
        <f aca="false">D53*F53*H53</f>
        <v>365.76</v>
      </c>
      <c r="J53" s="102"/>
      <c r="K53" s="113" t="s">
        <v>153</v>
      </c>
      <c r="L53" s="114" t="n">
        <v>182.88456</v>
      </c>
      <c r="M53" s="102"/>
      <c r="N53" s="102"/>
      <c r="O53" s="102"/>
      <c r="P53" s="102"/>
      <c r="Q53" s="102" t="n">
        <f aca="false">IF(COUNT(L53,N53,P53)&gt;0,AVERAGE(L53,N53,P53),"")</f>
        <v>182.88456</v>
      </c>
    </row>
    <row r="54" customFormat="false" ht="37.3" hidden="false" customHeight="false" outlineLevel="0" collapsed="false">
      <c r="A54" s="102" t="s">
        <v>154</v>
      </c>
      <c r="B54" s="131" t="s">
        <v>155</v>
      </c>
      <c r="C54" s="110" t="s">
        <v>156</v>
      </c>
      <c r="D54" s="102" t="n">
        <v>4</v>
      </c>
      <c r="E54" s="102" t="s">
        <v>12</v>
      </c>
      <c r="F54" s="102" t="n">
        <v>1</v>
      </c>
      <c r="G54" s="102" t="s">
        <v>12</v>
      </c>
      <c r="H54" s="112" t="n">
        <v>116.03</v>
      </c>
      <c r="I54" s="102" t="n">
        <f aca="false">D54*F54*H54</f>
        <v>464.12</v>
      </c>
      <c r="J54" s="102"/>
      <c r="K54" s="113" t="s">
        <v>157</v>
      </c>
      <c r="L54" s="114" t="n">
        <v>116.025</v>
      </c>
      <c r="M54" s="102"/>
      <c r="N54" s="102"/>
      <c r="O54" s="102"/>
      <c r="P54" s="102"/>
      <c r="Q54" s="102" t="n">
        <f aca="false">IF(COUNT(L54,N54,P54)&gt;0,AVERAGE(L54,N54,P54),"")</f>
        <v>116.025</v>
      </c>
    </row>
    <row r="55" customFormat="false" ht="14.25" hidden="false" customHeight="true" outlineLevel="0" collapsed="false">
      <c r="A55" s="109" t="s">
        <v>158</v>
      </c>
      <c r="B55" s="82" t="s">
        <v>159</v>
      </c>
      <c r="C55" s="110" t="s">
        <v>160</v>
      </c>
      <c r="D55" s="111" t="n">
        <v>2</v>
      </c>
      <c r="E55" s="111" t="s">
        <v>12</v>
      </c>
      <c r="F55" s="111" t="n">
        <v>1</v>
      </c>
      <c r="G55" s="102" t="s">
        <v>12</v>
      </c>
      <c r="H55" s="112" t="n">
        <v>106.18</v>
      </c>
      <c r="I55" s="111" t="n">
        <f aca="false">D55*F55*H55</f>
        <v>212.36</v>
      </c>
      <c r="J55" s="102"/>
      <c r="K55" s="113" t="s">
        <v>161</v>
      </c>
      <c r="L55" s="114" t="n">
        <v>106.18</v>
      </c>
      <c r="M55" s="102"/>
      <c r="N55" s="102"/>
      <c r="O55" s="102"/>
      <c r="P55" s="102"/>
      <c r="Q55" s="102" t="n">
        <f aca="false">IF(COUNT(L55,N55,P55)&gt;0,AVERAGE(L55,N55,P55),"")</f>
        <v>106.18</v>
      </c>
    </row>
    <row r="56" customFormat="false" ht="14.25" hidden="false" customHeight="true" outlineLevel="0" collapsed="false">
      <c r="A56" s="134" t="s">
        <v>162</v>
      </c>
      <c r="B56" s="135" t="s">
        <v>163</v>
      </c>
      <c r="C56" s="136" t="s">
        <v>164</v>
      </c>
      <c r="D56" s="137" t="n">
        <v>10</v>
      </c>
      <c r="E56" s="138" t="s">
        <v>12</v>
      </c>
      <c r="F56" s="138" t="n">
        <v>1</v>
      </c>
      <c r="G56" s="137" t="s">
        <v>12</v>
      </c>
      <c r="H56" s="139" t="n">
        <v>7.17</v>
      </c>
      <c r="I56" s="140" t="n">
        <f aca="false">D56*F56*H56</f>
        <v>71.7</v>
      </c>
      <c r="J56" s="137"/>
      <c r="K56" s="141" t="s">
        <v>165</v>
      </c>
      <c r="L56" s="142" t="n">
        <v>7.17</v>
      </c>
      <c r="M56" s="137"/>
      <c r="N56" s="137"/>
      <c r="O56" s="137"/>
      <c r="P56" s="137"/>
      <c r="Q56" s="137" t="n">
        <f aca="false">IF(COUNT(L56,N56,P56)&gt;0,AVERAGE(L56,N56,P56),"")</f>
        <v>7.17</v>
      </c>
    </row>
    <row r="57" customFormat="false" ht="14.25" hidden="false" customHeight="true" outlineLevel="0" collapsed="false">
      <c r="A57" s="143" t="s">
        <v>166</v>
      </c>
      <c r="B57" s="43" t="s">
        <v>167</v>
      </c>
      <c r="C57" s="44" t="s">
        <v>168</v>
      </c>
      <c r="D57" s="143" t="n">
        <v>6</v>
      </c>
      <c r="E57" s="143" t="s">
        <v>12</v>
      </c>
      <c r="F57" s="143" t="n">
        <v>1</v>
      </c>
      <c r="G57" s="143" t="s">
        <v>12</v>
      </c>
      <c r="H57" s="144" t="n">
        <v>35.33</v>
      </c>
      <c r="I57" s="143" t="n">
        <f aca="false">D57*F57*H57</f>
        <v>211.98</v>
      </c>
      <c r="J57" s="137"/>
      <c r="K57" s="145" t="s">
        <v>169</v>
      </c>
      <c r="L57" s="146" t="n">
        <v>35.325</v>
      </c>
      <c r="M57" s="147"/>
      <c r="N57" s="147"/>
      <c r="O57" s="147"/>
      <c r="P57" s="147"/>
      <c r="Q57" s="147" t="n">
        <f aca="false">IF(COUNT(L57,N57,P57)&gt;0,AVERAGE(L57,N57,P57),"")</f>
        <v>35.325</v>
      </c>
    </row>
    <row r="58" customFormat="false" ht="66" hidden="false" customHeight="true" outlineLevel="0" collapsed="false">
      <c r="A58" s="42" t="s">
        <v>170</v>
      </c>
      <c r="B58" s="43" t="s">
        <v>171</v>
      </c>
      <c r="C58" s="44" t="s">
        <v>172</v>
      </c>
      <c r="D58" s="148" t="n">
        <v>4</v>
      </c>
      <c r="E58" s="148" t="s">
        <v>12</v>
      </c>
      <c r="F58" s="148" t="n">
        <v>1</v>
      </c>
      <c r="G58" s="148" t="s">
        <v>12</v>
      </c>
      <c r="H58" s="149" t="n">
        <v>10.96</v>
      </c>
      <c r="I58" s="150" t="n">
        <f aca="false">D58*F58*H58</f>
        <v>43.84</v>
      </c>
      <c r="J58" s="48"/>
      <c r="K58" s="49" t="s">
        <v>173</v>
      </c>
      <c r="L58" s="151" t="n">
        <v>10.965</v>
      </c>
      <c r="M58" s="152"/>
      <c r="N58" s="153"/>
      <c r="O58" s="152"/>
      <c r="P58" s="153"/>
      <c r="Q58" s="54" t="n">
        <f aca="false">IF(COUNT(L58,N58,P58)&gt;0,AVERAGE(L58,N58,P58),"")</f>
        <v>10.965</v>
      </c>
    </row>
    <row r="59" customFormat="false" ht="52.5" hidden="false" customHeight="true" outlineLevel="0" collapsed="false">
      <c r="A59" s="42" t="s">
        <v>174</v>
      </c>
      <c r="B59" s="43" t="s">
        <v>175</v>
      </c>
      <c r="C59" s="44" t="s">
        <v>176</v>
      </c>
      <c r="D59" s="148" t="n">
        <v>2</v>
      </c>
      <c r="E59" s="148" t="s">
        <v>12</v>
      </c>
      <c r="F59" s="148" t="n">
        <v>1</v>
      </c>
      <c r="G59" s="148" t="s">
        <v>12</v>
      </c>
      <c r="H59" s="149" t="n">
        <v>34.9</v>
      </c>
      <c r="I59" s="150" t="n">
        <f aca="false">D59*F59*H59</f>
        <v>69.8</v>
      </c>
      <c r="J59" s="48"/>
      <c r="K59" s="49" t="s">
        <v>177</v>
      </c>
      <c r="L59" s="151" t="n">
        <v>34.902</v>
      </c>
      <c r="M59" s="152"/>
      <c r="N59" s="153"/>
      <c r="O59" s="152"/>
      <c r="P59" s="153"/>
      <c r="Q59" s="54" t="n">
        <f aca="false">IF(COUNT(L59,N59,P59)&gt;0,AVERAGE(L59,N59,P59),"")</f>
        <v>34.902</v>
      </c>
    </row>
    <row r="60" customFormat="false" ht="78.75" hidden="false" customHeight="true" outlineLevel="0" collapsed="false">
      <c r="A60" s="42" t="s">
        <v>178</v>
      </c>
      <c r="B60" s="43" t="s">
        <v>179</v>
      </c>
      <c r="C60" s="44" t="s">
        <v>180</v>
      </c>
      <c r="D60" s="148" t="n">
        <v>20</v>
      </c>
      <c r="E60" s="148" t="s">
        <v>12</v>
      </c>
      <c r="F60" s="148" t="n">
        <v>1</v>
      </c>
      <c r="G60" s="148" t="s">
        <v>12</v>
      </c>
      <c r="H60" s="149" t="n">
        <v>16</v>
      </c>
      <c r="I60" s="150" t="n">
        <f aca="false">D60*F60*H60</f>
        <v>320</v>
      </c>
      <c r="J60" s="48"/>
      <c r="K60" s="49" t="s">
        <v>181</v>
      </c>
      <c r="L60" s="56" t="n">
        <v>16</v>
      </c>
      <c r="M60" s="152"/>
      <c r="N60" s="153"/>
      <c r="O60" s="152"/>
      <c r="P60" s="153"/>
      <c r="Q60" s="54" t="n">
        <f aca="false">IF(COUNT(L60,N60,P60)&gt;0,AVERAGE(L60,N60,P60),"")</f>
        <v>16</v>
      </c>
    </row>
    <row r="61" customFormat="false" ht="14.25" hidden="false" customHeight="true" outlineLevel="0" collapsed="false">
      <c r="A61" s="154" t="s">
        <v>182</v>
      </c>
      <c r="B61" s="155" t="s">
        <v>183</v>
      </c>
      <c r="C61" s="156" t="s">
        <v>184</v>
      </c>
      <c r="D61" s="157" t="n">
        <v>2</v>
      </c>
      <c r="E61" s="157" t="s">
        <v>12</v>
      </c>
      <c r="F61" s="157" t="n">
        <v>1</v>
      </c>
      <c r="G61" s="157" t="s">
        <v>12</v>
      </c>
      <c r="H61" s="158" t="n">
        <v>150</v>
      </c>
      <c r="I61" s="159" t="n">
        <f aca="false">D61*F61*H61</f>
        <v>300</v>
      </c>
      <c r="J61" s="48"/>
      <c r="K61" s="160" t="s">
        <v>185</v>
      </c>
      <c r="L61" s="161"/>
      <c r="M61" s="137"/>
      <c r="N61" s="162"/>
      <c r="O61" s="137"/>
      <c r="P61" s="162"/>
      <c r="Q61" s="163" t="str">
        <f aca="false">IF(COUNT(L61,N61,P61)&gt;0,AVERAGE(L61,N61,P61),"")</f>
        <v/>
      </c>
    </row>
    <row r="62" customFormat="false" ht="14.25" hidden="false" customHeight="true" outlineLevel="0" collapsed="false">
      <c r="A62" s="164"/>
      <c r="B62" s="165"/>
      <c r="D62" s="165"/>
      <c r="E62" s="165"/>
      <c r="F62" s="165"/>
      <c r="I62" s="165"/>
    </row>
    <row r="63" customFormat="false" ht="14.25" hidden="false" customHeight="true" outlineLevel="0" collapsed="false">
      <c r="A63" s="166" t="s">
        <v>1</v>
      </c>
      <c r="B63" s="167" t="s">
        <v>2</v>
      </c>
      <c r="E63" s="168"/>
      <c r="F63" s="168"/>
      <c r="I63" s="8"/>
    </row>
    <row r="64" customFormat="false" ht="14.25" hidden="false" customHeight="true" outlineLevel="0" collapsed="false">
      <c r="A64" s="169" t="s">
        <v>186</v>
      </c>
      <c r="B64" s="169" t="s">
        <v>187</v>
      </c>
      <c r="C64" s="169"/>
      <c r="D64" s="169"/>
      <c r="E64" s="169" t="s">
        <v>8</v>
      </c>
      <c r="F64" s="169" t="s">
        <v>9</v>
      </c>
      <c r="G64" s="169"/>
      <c r="H64" s="169"/>
      <c r="I64" s="169" t="n">
        <f aca="false">SUM(I66)</f>
        <v>14400</v>
      </c>
      <c r="K64" s="170"/>
      <c r="L64" s="170"/>
      <c r="M64" s="170"/>
      <c r="N64" s="170"/>
      <c r="O64" s="170"/>
      <c r="P64" s="170"/>
      <c r="Q64" s="170"/>
    </row>
    <row r="65" customFormat="false" ht="66" hidden="false" customHeight="true" outlineLevel="0" collapsed="false">
      <c r="A65" s="36" t="s">
        <v>1</v>
      </c>
      <c r="B65" s="171" t="s">
        <v>10</v>
      </c>
      <c r="C65" s="172" t="s">
        <v>11</v>
      </c>
      <c r="D65" s="173" t="s">
        <v>3</v>
      </c>
      <c r="E65" s="173" t="s">
        <v>12</v>
      </c>
      <c r="F65" s="173" t="s">
        <v>4</v>
      </c>
      <c r="G65" s="173" t="s">
        <v>12</v>
      </c>
      <c r="H65" s="174" t="s">
        <v>13</v>
      </c>
      <c r="I65" s="174" t="s">
        <v>6</v>
      </c>
      <c r="K65" s="175"/>
      <c r="L65" s="176"/>
      <c r="M65" s="177"/>
      <c r="N65" s="178"/>
      <c r="O65" s="177"/>
      <c r="P65" s="178"/>
      <c r="Q65" s="179"/>
    </row>
    <row r="66" customFormat="false" ht="78.75" hidden="false" customHeight="true" outlineLevel="0" collapsed="false">
      <c r="A66" s="58" t="s">
        <v>188</v>
      </c>
      <c r="B66" s="59" t="s">
        <v>189</v>
      </c>
      <c r="C66" s="60" t="s">
        <v>190</v>
      </c>
      <c r="D66" s="61" t="n">
        <v>120</v>
      </c>
      <c r="E66" s="61" t="s">
        <v>12</v>
      </c>
      <c r="F66" s="61" t="n">
        <v>12</v>
      </c>
      <c r="G66" s="61" t="s">
        <v>23</v>
      </c>
      <c r="H66" s="180" t="n">
        <v>10</v>
      </c>
      <c r="I66" s="63" t="n">
        <f aca="false">D66*F66*H66</f>
        <v>14400</v>
      </c>
      <c r="J66" s="64"/>
      <c r="K66" s="181" t="s">
        <v>55</v>
      </c>
      <c r="L66" s="182" t="n">
        <v>17.27</v>
      </c>
      <c r="M66" s="183"/>
      <c r="N66" s="184"/>
      <c r="O66" s="183"/>
      <c r="P66" s="184"/>
      <c r="Q66" s="70" t="n">
        <f aca="false">IF(COUNT(L66,N66,P66)&gt;0,AVERAGE(L66,N66,P66),"")</f>
        <v>17.27</v>
      </c>
    </row>
    <row r="67" customFormat="false" ht="14.25" hidden="false" customHeight="true" outlineLevel="0" collapsed="false">
      <c r="A67" s="185"/>
      <c r="B67" s="186"/>
      <c r="C67" s="186"/>
      <c r="D67" s="186"/>
      <c r="E67" s="186"/>
      <c r="F67" s="186"/>
      <c r="G67" s="186"/>
      <c r="H67" s="187"/>
      <c r="I67" s="188"/>
      <c r="K67" s="39"/>
      <c r="L67" s="189"/>
      <c r="N67" s="190"/>
      <c r="P67" s="190"/>
      <c r="Q67" s="41"/>
    </row>
    <row r="68" customFormat="false" ht="14.25" hidden="false" customHeight="true" outlineLevel="0" collapsed="false">
      <c r="A68" s="191" t="s">
        <v>191</v>
      </c>
      <c r="B68" s="186"/>
      <c r="C68" s="186"/>
      <c r="D68" s="186"/>
      <c r="E68" s="186"/>
      <c r="F68" s="186"/>
      <c r="G68" s="186"/>
      <c r="H68" s="187"/>
      <c r="I68" s="188" t="n">
        <f aca="false">SUM(I4,I11,I16,I23,I28,I64)</f>
        <v>424294.95</v>
      </c>
      <c r="L68" s="189"/>
      <c r="N68" s="190"/>
      <c r="P68" s="190"/>
      <c r="Q68" s="41"/>
    </row>
    <row r="69" customFormat="false" ht="14.25" hidden="false" customHeight="true" outlineLevel="0" collapsed="false">
      <c r="A69" s="192"/>
      <c r="I69" s="193"/>
      <c r="J69" s="194"/>
    </row>
    <row r="70" customFormat="false" ht="14.25" hidden="false" customHeight="true" outlineLevel="0" collapsed="false">
      <c r="A70" s="195" t="s">
        <v>192</v>
      </c>
      <c r="I70" s="196"/>
    </row>
    <row r="71" customFormat="false" ht="14.25" hidden="false" customHeight="true" outlineLevel="0" collapsed="false">
      <c r="A71" s="197"/>
      <c r="I71" s="196"/>
      <c r="J71" s="194"/>
      <c r="K71" s="198"/>
    </row>
    <row r="72" customFormat="false" ht="14.25" hidden="false" customHeight="true" outlineLevel="0" collapsed="false">
      <c r="A72" s="197"/>
      <c r="I72" s="196"/>
    </row>
    <row r="73" customFormat="false" ht="14.25" hidden="false" customHeight="false" outlineLevel="0" collapsed="false">
      <c r="A73" s="1" t="s">
        <v>1</v>
      </c>
      <c r="B73" s="1" t="s">
        <v>2</v>
      </c>
    </row>
    <row r="74" customFormat="false" ht="14.25" hidden="false" customHeight="false" outlineLevel="0" collapsed="false">
      <c r="A74" s="1" t="s">
        <v>193</v>
      </c>
      <c r="B74" s="1" t="s">
        <v>194</v>
      </c>
      <c r="E74" s="1" t="s">
        <v>8</v>
      </c>
      <c r="F74" s="1" t="s">
        <v>9</v>
      </c>
      <c r="I74" s="1" t="n">
        <f aca="false">SUM(I76:I78)</f>
        <v>60600</v>
      </c>
    </row>
    <row r="75" customFormat="false" ht="14.25" hidden="false" customHeight="false" outlineLevel="0" collapsed="false">
      <c r="A75" s="1" t="s">
        <v>1</v>
      </c>
      <c r="B75" s="1" t="s">
        <v>10</v>
      </c>
      <c r="C75" s="1" t="s">
        <v>11</v>
      </c>
      <c r="D75" s="1" t="s">
        <v>3</v>
      </c>
      <c r="E75" s="1" t="s">
        <v>12</v>
      </c>
      <c r="F75" s="1" t="s">
        <v>4</v>
      </c>
      <c r="G75" s="1" t="s">
        <v>12</v>
      </c>
      <c r="H75" s="1" t="s">
        <v>13</v>
      </c>
      <c r="I75" s="1" t="s">
        <v>6</v>
      </c>
      <c r="K75" s="1" t="s">
        <v>14</v>
      </c>
      <c r="L75" s="1" t="s">
        <v>15</v>
      </c>
      <c r="Q75" s="1" t="s">
        <v>18</v>
      </c>
    </row>
    <row r="76" customFormat="false" ht="46.25" hidden="false" customHeight="false" outlineLevel="0" collapsed="false">
      <c r="A76" s="199" t="s">
        <v>19</v>
      </c>
      <c r="B76" s="200" t="s">
        <v>195</v>
      </c>
      <c r="C76" s="201" t="s">
        <v>196</v>
      </c>
      <c r="D76" s="199" t="n">
        <v>1</v>
      </c>
      <c r="E76" s="199" t="s">
        <v>197</v>
      </c>
      <c r="F76" s="199" t="n">
        <v>12</v>
      </c>
      <c r="G76" s="199" t="s">
        <v>23</v>
      </c>
      <c r="H76" s="202" t="n">
        <v>850</v>
      </c>
      <c r="I76" s="199" t="n">
        <f aca="false">D76*F76*H76</f>
        <v>10200</v>
      </c>
      <c r="J76" s="199"/>
      <c r="K76" s="203" t="s">
        <v>198</v>
      </c>
      <c r="L76" s="204" t="n">
        <v>18347.14</v>
      </c>
      <c r="M76" s="199"/>
      <c r="N76" s="199"/>
      <c r="O76" s="199"/>
      <c r="P76" s="199"/>
      <c r="Q76" s="199" t="n">
        <f aca="false">IF(COUNT(L76,N76,P76)&gt;0,AVERAGE(L76,N76,P76),"")</f>
        <v>18347.14</v>
      </c>
    </row>
    <row r="77" customFormat="false" ht="46.25" hidden="false" customHeight="false" outlineLevel="0" collapsed="false">
      <c r="A77" s="199" t="s">
        <v>25</v>
      </c>
      <c r="B77" s="200" t="s">
        <v>199</v>
      </c>
      <c r="C77" s="201" t="s">
        <v>200</v>
      </c>
      <c r="D77" s="199" t="n">
        <v>1</v>
      </c>
      <c r="E77" s="199" t="s">
        <v>197</v>
      </c>
      <c r="F77" s="199" t="n">
        <v>12</v>
      </c>
      <c r="G77" s="199" t="s">
        <v>23</v>
      </c>
      <c r="H77" s="202" t="n">
        <v>200</v>
      </c>
      <c r="I77" s="199" t="n">
        <f aca="false">D77*F77*H77</f>
        <v>2400</v>
      </c>
      <c r="J77" s="199"/>
      <c r="K77" s="203" t="s">
        <v>201</v>
      </c>
      <c r="L77" s="204" t="n">
        <v>2766.41</v>
      </c>
      <c r="M77" s="199"/>
      <c r="N77" s="199"/>
      <c r="O77" s="199"/>
      <c r="P77" s="199"/>
      <c r="Q77" s="199" t="n">
        <f aca="false">IF(COUNT(L77,N77,P77)&gt;0,AVERAGE(L77,N77,P77),"")</f>
        <v>2766.41</v>
      </c>
    </row>
    <row r="78" customFormat="false" ht="46.25" hidden="false" customHeight="false" outlineLevel="0" collapsed="false">
      <c r="A78" s="199" t="s">
        <v>29</v>
      </c>
      <c r="B78" s="200" t="s">
        <v>202</v>
      </c>
      <c r="C78" s="201" t="s">
        <v>203</v>
      </c>
      <c r="D78" s="199" t="n">
        <v>1</v>
      </c>
      <c r="E78" s="199" t="s">
        <v>197</v>
      </c>
      <c r="F78" s="199" t="n">
        <v>12</v>
      </c>
      <c r="G78" s="199" t="s">
        <v>23</v>
      </c>
      <c r="H78" s="202" t="n">
        <v>4000</v>
      </c>
      <c r="I78" s="199" t="n">
        <f aca="false">D78*F78*H78</f>
        <v>48000</v>
      </c>
      <c r="J78" s="199"/>
      <c r="K78" s="203" t="s">
        <v>55</v>
      </c>
      <c r="L78" s="205" t="n">
        <v>20804.83</v>
      </c>
      <c r="M78" s="199"/>
      <c r="N78" s="199"/>
      <c r="O78" s="199"/>
      <c r="P78" s="199"/>
      <c r="Q78" s="199" t="n">
        <f aca="false">IF(COUNT(L78,N78,P78)&gt;0,AVERAGE(L78,N78,P78),"")</f>
        <v>20804.83</v>
      </c>
    </row>
    <row r="80" customFormat="false" ht="14.25" hidden="false" customHeight="false" outlineLevel="0" collapsed="false">
      <c r="A80" s="1" t="s">
        <v>1</v>
      </c>
      <c r="B80" s="1" t="s">
        <v>2</v>
      </c>
    </row>
    <row r="81" customFormat="false" ht="14.25" hidden="false" customHeight="false" outlineLevel="0" collapsed="false">
      <c r="A81" s="1" t="s">
        <v>204</v>
      </c>
      <c r="B81" s="1" t="s">
        <v>205</v>
      </c>
      <c r="E81" s="1" t="s">
        <v>8</v>
      </c>
      <c r="F81" s="1" t="s">
        <v>9</v>
      </c>
      <c r="I81" s="1" t="n">
        <f aca="false">SUM(I83:I84)</f>
        <v>1005</v>
      </c>
    </row>
    <row r="82" customFormat="false" ht="14.25" hidden="false" customHeight="false" outlineLevel="0" collapsed="false">
      <c r="A82" s="1" t="s">
        <v>1</v>
      </c>
      <c r="B82" s="1" t="s">
        <v>10</v>
      </c>
      <c r="C82" s="1" t="s">
        <v>11</v>
      </c>
      <c r="D82" s="1" t="s">
        <v>3</v>
      </c>
      <c r="E82" s="1" t="s">
        <v>12</v>
      </c>
      <c r="F82" s="1" t="s">
        <v>4</v>
      </c>
      <c r="G82" s="1" t="s">
        <v>12</v>
      </c>
      <c r="H82" s="1" t="s">
        <v>13</v>
      </c>
      <c r="I82" s="1" t="s">
        <v>6</v>
      </c>
      <c r="K82" s="1" t="s">
        <v>14</v>
      </c>
      <c r="L82" s="1" t="s">
        <v>15</v>
      </c>
      <c r="Q82" s="1" t="s">
        <v>18</v>
      </c>
    </row>
    <row r="83" customFormat="false" ht="46.25" hidden="false" customHeight="false" outlineLevel="0" collapsed="false">
      <c r="A83" s="199" t="s">
        <v>206</v>
      </c>
      <c r="B83" s="200" t="s">
        <v>207</v>
      </c>
      <c r="C83" s="201" t="s">
        <v>208</v>
      </c>
      <c r="D83" s="199" t="n">
        <v>5</v>
      </c>
      <c r="E83" s="199" t="s">
        <v>12</v>
      </c>
      <c r="F83" s="199" t="n">
        <v>1</v>
      </c>
      <c r="G83" s="199" t="s">
        <v>12</v>
      </c>
      <c r="H83" s="202" t="n">
        <v>141</v>
      </c>
      <c r="I83" s="199" t="n">
        <f aca="false">D83*F83*H83</f>
        <v>705</v>
      </c>
      <c r="J83" s="199"/>
      <c r="K83" s="203" t="s">
        <v>209</v>
      </c>
      <c r="L83" s="204" t="n">
        <v>161</v>
      </c>
      <c r="M83" s="199"/>
      <c r="N83" s="199"/>
      <c r="O83" s="199"/>
      <c r="P83" s="199"/>
      <c r="Q83" s="199" t="n">
        <f aca="false">IF(COUNT(L83,N83,P83)&gt;0,AVERAGE(L83,N83,P83),"")</f>
        <v>161</v>
      </c>
    </row>
    <row r="84" customFormat="false" ht="46.25" hidden="false" customHeight="false" outlineLevel="0" collapsed="false">
      <c r="A84" s="199" t="s">
        <v>33</v>
      </c>
      <c r="B84" s="200" t="s">
        <v>210</v>
      </c>
      <c r="C84" s="201" t="s">
        <v>211</v>
      </c>
      <c r="D84" s="199" t="n">
        <v>1</v>
      </c>
      <c r="E84" s="199" t="s">
        <v>12</v>
      </c>
      <c r="F84" s="199" t="n">
        <v>1</v>
      </c>
      <c r="G84" s="199" t="s">
        <v>12</v>
      </c>
      <c r="H84" s="202" t="n">
        <v>300</v>
      </c>
      <c r="I84" s="199" t="n">
        <f aca="false">D84*F84*H84</f>
        <v>300</v>
      </c>
      <c r="J84" s="199"/>
      <c r="K84" s="203" t="s">
        <v>212</v>
      </c>
      <c r="L84" s="204" t="n">
        <v>2040</v>
      </c>
      <c r="M84" s="199"/>
      <c r="N84" s="199"/>
      <c r="O84" s="199"/>
      <c r="P84" s="199"/>
      <c r="Q84" s="199" t="n">
        <f aca="false">IF(COUNT(L84,N84,P84)&gt;0,AVERAGE(L84,N84,P84),"")</f>
        <v>2040</v>
      </c>
    </row>
    <row r="87" customFormat="false" ht="14.25" hidden="false" customHeight="false" outlineLevel="0" collapsed="false">
      <c r="A87" s="206" t="s">
        <v>213</v>
      </c>
      <c r="I87" s="1" t="n">
        <f aca="false">SUM(I74,I81)</f>
        <v>61605</v>
      </c>
      <c r="J87" s="1" t="n">
        <f aca="false">I87/I68</f>
        <v>0.145193809165063</v>
      </c>
    </row>
    <row r="88" customFormat="false" ht="14.25" hidden="false" customHeight="false" outlineLevel="0" collapsed="false">
      <c r="A88" s="206" t="s">
        <v>214</v>
      </c>
      <c r="I88" s="1" t="n">
        <f aca="false">I87+I68</f>
        <v>485899.95</v>
      </c>
    </row>
    <row r="89" customFormat="false" ht="14.25" hidden="false" customHeight="false" outlineLevel="0" collapsed="false">
      <c r="A89" s="1" t="s">
        <v>215</v>
      </c>
      <c r="I89" s="1" t="n">
        <f aca="false">IF((I88*7%)&gt;100000,100000,(I88*7%))</f>
        <v>34012.9965</v>
      </c>
      <c r="J89" s="1" t="n">
        <f aca="false">I89/I88</f>
        <v>0.07</v>
      </c>
    </row>
    <row r="90" customFormat="false" ht="14.25" hidden="false" customHeight="false" outlineLevel="0" collapsed="false">
      <c r="A90" s="207" t="s">
        <v>216</v>
      </c>
      <c r="I90" s="1" t="n">
        <f aca="false">I88+I89</f>
        <v>519912.9465</v>
      </c>
    </row>
  </sheetData>
  <conditionalFormatting sqref="J69">
    <cfRule type="cellIs" priority="2" operator="equal" aboveAverage="0" equalAverage="0" bottom="0" percent="0" rank="0" text="" dxfId="0">
      <formula>0.15</formula>
    </cfRule>
    <cfRule type="cellIs" priority="3" operator="lessThan" aboveAverage="0" equalAverage="0" bottom="0" percent="0" rank="0" text="" dxfId="1">
      <formula>0.15</formula>
    </cfRule>
    <cfRule type="cellIs" priority="4" operator="greaterThan" aboveAverage="0" equalAverage="0" bottom="0" percent="0" rank="0" text="" dxfId="2">
      <formula>0.15</formula>
    </cfRule>
  </conditionalFormatting>
  <conditionalFormatting sqref="J71">
    <cfRule type="cellIs" priority="5" operator="equal" aboveAverage="0" equalAverage="0" bottom="0" percent="0" rank="0" text="" dxfId="0">
      <formula>0.07</formula>
    </cfRule>
    <cfRule type="cellIs" priority="6" operator="lessThan" aboveAverage="0" equalAverage="0" bottom="0" percent="0" rank="0" text="" dxfId="1">
      <formula>0.07</formula>
    </cfRule>
    <cfRule type="cellIs" priority="7" operator="equal" aboveAverage="0" equalAverage="0" bottom="0" percent="0" rank="0" text="" dxfId="0">
      <formula>0.15</formula>
    </cfRule>
  </conditionalFormatting>
  <conditionalFormatting sqref="L73">
    <cfRule type="cellIs" priority="8" operator="greaterThan" aboveAverage="0" equalAverage="0" bottom="0" percent="0" rank="0" text="" dxfId="2">
      <formula>0.07</formula>
    </cfRule>
  </conditionalFormatting>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2013-05-20T19:25:05Z</dcterms:created>
  <dc:creator>X3M</dc:creator>
  <dc:description/>
  <dc:language>en-US</dc:language>
  <cp:lastModifiedBy>Karine Barcelos</cp:lastModifiedBy>
  <dcterms:modified xsi:type="dcterms:W3CDTF">2026-04-26T14:08:28Z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aliada">
    <vt:lpwstr>1</vt:lpwstr>
  </property>
  <property fmtid="{D5CDD505-2E9C-101B-9397-08002B2CF9AE}" pid="3" name="Cidade">
    <vt:lpwstr/>
  </property>
  <property fmtid="{D5CDD505-2E9C-101B-9397-08002B2CF9AE}" pid="4" name="ContentTypeId">
    <vt:lpwstr>0x010100B7B1D589A8FF36428202C6CAF9D11312</vt:lpwstr>
  </property>
  <property fmtid="{D5CDD505-2E9C-101B-9397-08002B2CF9AE}" pid="5" name="MediaServiceImageTags">
    <vt:lpwstr/>
  </property>
  <property fmtid="{D5CDD505-2E9C-101B-9397-08002B2CF9AE}" pid="6" name="Revisada">
    <vt:lpwstr>1</vt:lpwstr>
  </property>
  <property fmtid="{D5CDD505-2E9C-101B-9397-08002B2CF9AE}" pid="7" name="lcf76f155ced4ddcb4097134ff3c332f">
    <vt:lpwstr/>
  </property>
</Properties>
</file>