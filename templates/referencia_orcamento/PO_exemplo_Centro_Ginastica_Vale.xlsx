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GINACAO 03\Downloads\"/>
    </mc:Choice>
  </mc:AlternateContent>
  <xr:revisionPtr revIDLastSave="0" documentId="13_ncr:1_{7716BC72-FCD9-4C19-9CF8-00F32F8A2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 Orçamentária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I72" i="1"/>
  <c r="I73" i="1"/>
  <c r="I74" i="1"/>
  <c r="I75" i="1"/>
  <c r="I99" i="1"/>
  <c r="I102" i="1"/>
  <c r="I49" i="1"/>
  <c r="D48" i="1"/>
  <c r="I48" i="1" s="1"/>
  <c r="I47" i="1"/>
  <c r="I45" i="1" l="1"/>
  <c r="D87" i="1" l="1"/>
  <c r="I30" i="1"/>
  <c r="D29" i="1"/>
  <c r="I29" i="1" s="1"/>
  <c r="I27" i="1"/>
  <c r="D26" i="1"/>
  <c r="I26" i="1" s="1"/>
  <c r="D25" i="1"/>
  <c r="I25" i="1" s="1"/>
  <c r="D24" i="1"/>
  <c r="M9" i="2"/>
  <c r="H16" i="1"/>
  <c r="H19" i="1"/>
  <c r="I19" i="1" s="1"/>
  <c r="H17" i="1"/>
  <c r="H18" i="1"/>
  <c r="I7" i="1"/>
  <c r="I8" i="1"/>
  <c r="I9" i="1"/>
  <c r="I10" i="1"/>
  <c r="I11" i="1"/>
  <c r="M7" i="2"/>
  <c r="M6" i="2"/>
  <c r="M5" i="2"/>
  <c r="Q11" i="1"/>
  <c r="Q80" i="1"/>
  <c r="Q81" i="1"/>
  <c r="Q18" i="1" l="1"/>
  <c r="D18" i="1"/>
  <c r="I81" i="1"/>
  <c r="I18" i="1" l="1"/>
  <c r="I80" i="1"/>
  <c r="Q68" i="1" l="1"/>
  <c r="Q67" i="1"/>
  <c r="Q66" i="1"/>
  <c r="Q65" i="1"/>
  <c r="Q64" i="1"/>
  <c r="Q63" i="1"/>
  <c r="Q62" i="1"/>
  <c r="I71" i="1"/>
  <c r="I63" i="1"/>
  <c r="I68" i="1"/>
  <c r="I59" i="1"/>
  <c r="I55" i="1"/>
  <c r="I58" i="1"/>
  <c r="I57" i="1"/>
  <c r="I56" i="1"/>
  <c r="I64" i="1"/>
  <c r="I65" i="1"/>
  <c r="I66" i="1"/>
  <c r="I69" i="1"/>
  <c r="I60" i="1"/>
  <c r="I61" i="1"/>
  <c r="I62" i="1"/>
  <c r="I54" i="1"/>
  <c r="I67" i="1"/>
  <c r="I70" i="1"/>
  <c r="Q54" i="1" l="1"/>
  <c r="Q55" i="1"/>
  <c r="Q56" i="1"/>
  <c r="Q57" i="1"/>
  <c r="Q58" i="1"/>
  <c r="Q59" i="1"/>
  <c r="Q60" i="1"/>
  <c r="Q61" i="1"/>
  <c r="Q69" i="1"/>
  <c r="Q101" i="1" l="1"/>
  <c r="Q40" i="1"/>
  <c r="Q36" i="1"/>
  <c r="Q37" i="1"/>
  <c r="Q38" i="1"/>
  <c r="Q39" i="1"/>
  <c r="Q35" i="1"/>
  <c r="Q28" i="1"/>
  <c r="Q10" i="1"/>
  <c r="I36" i="1"/>
  <c r="I37" i="1"/>
  <c r="I38" i="1"/>
  <c r="I39" i="1"/>
  <c r="I40" i="1"/>
  <c r="I35" i="1"/>
  <c r="D17" i="1"/>
  <c r="D16" i="1"/>
  <c r="I33" i="1" l="1"/>
  <c r="I6" i="1"/>
  <c r="I4" i="1" s="1"/>
  <c r="Q6" i="1"/>
  <c r="I101" i="1"/>
  <c r="Q96" i="1"/>
  <c r="I96" i="1"/>
  <c r="I94" i="1" s="1"/>
  <c r="Q82" i="1"/>
  <c r="I82" i="1"/>
  <c r="I78" i="1" s="1"/>
  <c r="Q87" i="1"/>
  <c r="I87" i="1"/>
  <c r="I85" i="1" s="1"/>
  <c r="I89" i="1" l="1"/>
  <c r="I104" i="1"/>
  <c r="Q16" i="1"/>
  <c r="Q70" i="1"/>
  <c r="Q71" i="1"/>
  <c r="I16" i="1"/>
  <c r="I28" i="1" l="1"/>
  <c r="Q17" i="1" l="1"/>
  <c r="I17" i="1"/>
  <c r="I14" i="1" s="1"/>
  <c r="Q27" i="1"/>
  <c r="Q24" i="1"/>
  <c r="I24" i="1" l="1"/>
  <c r="I22" i="1" s="1"/>
  <c r="J104" i="1" l="1"/>
  <c r="I105" i="1" l="1"/>
  <c r="I106" i="1" s="1"/>
  <c r="J106" i="1" s="1"/>
  <c r="I107" i="1" l="1"/>
</calcChain>
</file>

<file path=xl/sharedStrings.xml><?xml version="1.0" encoding="utf-8"?>
<sst xmlns="http://schemas.openxmlformats.org/spreadsheetml/2006/main" count="636" uniqueCount="255">
  <si>
    <t>ATIVIDADE FIM</t>
  </si>
  <si>
    <t>Nº</t>
  </si>
  <si>
    <t>Ações</t>
  </si>
  <si>
    <t>Quantidade</t>
  </si>
  <si>
    <t>Duração</t>
  </si>
  <si>
    <t>Fontes</t>
  </si>
  <si>
    <t>Total (R$)</t>
  </si>
  <si>
    <t>Recursos Humanos - Atividade Fim</t>
  </si>
  <si>
    <t>12 meses</t>
  </si>
  <si>
    <t>Pleito Efeito da Lei 11.438/06</t>
  </si>
  <si>
    <t>Detalhamento das Ações</t>
  </si>
  <si>
    <t>Resumo do Detalhamento</t>
  </si>
  <si>
    <t>Unidade</t>
  </si>
  <si>
    <t>Valor Unitário</t>
  </si>
  <si>
    <t>ORÇAMENTO 01</t>
  </si>
  <si>
    <t>VALOR</t>
  </si>
  <si>
    <t>ORÇAMENTO 02</t>
  </si>
  <si>
    <t>ORÇAMENTO 03</t>
  </si>
  <si>
    <t>MÉDIA</t>
  </si>
  <si>
    <t>1.1</t>
  </si>
  <si>
    <t>Pessoa</t>
  </si>
  <si>
    <t xml:space="preserve">Mês </t>
  </si>
  <si>
    <t>Trabalha Brasil</t>
  </si>
  <si>
    <t>1.2</t>
  </si>
  <si>
    <t>Responsável por coordedar os materiais e equipamentos do projeto e distribuição, visando o bom funcionamento de cada modalidade/categoria. Previsto 1 pessoa para o período de execução do projeto.</t>
  </si>
  <si>
    <t>Glassdoor</t>
  </si>
  <si>
    <t>1.3</t>
  </si>
  <si>
    <t>Professor, responsável por organizar as turmas, planejar e aplicar as atividades, ministrar aulas de educação física, articulando o processo de ensino-aprendizagem na formação dos alunos. Voltado para as modalidades de Ginástica Rítmica e Ginástica Artística. MC: 1 professor x 2 modalidades x 5 núcleos = 10 pessoas.</t>
  </si>
  <si>
    <t>Encargos Trabalhistas - Atividade Fim</t>
  </si>
  <si>
    <t>2.1</t>
  </si>
  <si>
    <t>Encargos inerentes a contratação por CLT, proporcional a 52,1% do pgt da função, distribuído por: INSS; FGTS; 13° salário; INSS sobre o 13°; FGTS sobre o 13°; Férias; Abono de Férias; Aviso Prévio; Indenização Resc.</t>
  </si>
  <si>
    <t>Encargo</t>
  </si>
  <si>
    <t>2.2</t>
  </si>
  <si>
    <t>2.3</t>
  </si>
  <si>
    <t>Uniformes - Atividade Fim</t>
  </si>
  <si>
    <t>3.1</t>
  </si>
  <si>
    <t>Camisa fabricada em tecido tecido 100% poliéster, dry fit e proteção solar UVA e UVB, gramatura 130 g/m², costura em overloque, ou similar. MC: 1 unidade x 20 beneficiados = 20 unidades.</t>
  </si>
  <si>
    <t>Dia</t>
  </si>
  <si>
    <t>Centauro</t>
  </si>
  <si>
    <t xml:space="preserve">Crown Training </t>
  </si>
  <si>
    <t>Alpha</t>
  </si>
  <si>
    <t>3.2</t>
  </si>
  <si>
    <t xml:space="preserve">Collant Feminino </t>
  </si>
  <si>
    <t>COLLANT- Feminino em sublimação digital.
Modelagem adequada para prática de Ginástica Artística e Rítmica. Tecido Suplex especial para sublimação 92% poliéster 8% elastano, flexibilidade para todas as direções sem apresentar deformações, com proteção solar UVA e UVB, gramatura 270 g/m², viés da gola e cava das mangas de 1cm de largura, elástico na cava das pernas 9 mm de largura, costuras em overloque ponto cadeia, ou similar. MC: 1 unidade x 180 beneficiadas = 180 unidades.</t>
  </si>
  <si>
    <t>Dancin</t>
  </si>
  <si>
    <t>Só Dança</t>
  </si>
  <si>
    <t>Capezio</t>
  </si>
  <si>
    <t>3.3</t>
  </si>
  <si>
    <t>Amazon</t>
  </si>
  <si>
    <t>3.4</t>
  </si>
  <si>
    <t>SHORT – Masculino em sublimação digital. Modelagem adequada para prática de Ginástica Artística. Tecido 100% poliéster, dry fit e proteção solar UVA e UVB, gramatura 130 g/m², costura em overloque ponto cadeia. Cós com elástico de 3 cm, costura em overloque ponto cadeia, ou similar. MC: 1 unidade x 20 beneficiados =20 unidades.</t>
  </si>
  <si>
    <t>Decathlon</t>
  </si>
  <si>
    <t>Dafiti</t>
  </si>
  <si>
    <t>Material de Consumo/Esportivo - Atividade Fim</t>
  </si>
  <si>
    <t>4.1</t>
  </si>
  <si>
    <t>Arco</t>
  </si>
  <si>
    <t>Material/equipamento esportivo para as atividades de ginástica previstas no projeto, visando a melhor execução das atividades. Distribuídos de acordo com as necessidades dos núcleos dos projetos. MC: 10 unidades x 5 núcleos.</t>
  </si>
  <si>
    <t>Rythmoon</t>
  </si>
  <si>
    <t>Artigos Esportivos Atleta de Ouro</t>
  </si>
  <si>
    <t>Dicat Sports</t>
  </si>
  <si>
    <t>4.2</t>
  </si>
  <si>
    <t>Bola</t>
  </si>
  <si>
    <t>Magazine Luiza</t>
  </si>
  <si>
    <t>4.3</t>
  </si>
  <si>
    <t>Corda</t>
  </si>
  <si>
    <t>4.4</t>
  </si>
  <si>
    <t>Estilete</t>
  </si>
  <si>
    <t xml:space="preserve">Dia </t>
  </si>
  <si>
    <t>Sonho de Bailarina</t>
  </si>
  <si>
    <t>Gallpão da Ginástica</t>
  </si>
  <si>
    <t>4.5</t>
  </si>
  <si>
    <t>Fita</t>
  </si>
  <si>
    <t>4.6</t>
  </si>
  <si>
    <t>Maças</t>
  </si>
  <si>
    <t>Flexibilizando Store</t>
  </si>
  <si>
    <t>Mercadão dos Esportes</t>
  </si>
  <si>
    <t>Material Permanente/Equipamento - Atividade Fim</t>
  </si>
  <si>
    <t>5.1</t>
  </si>
  <si>
    <t>Barra Fixa Junior</t>
  </si>
  <si>
    <t>Consiste em duas bases de aço 180 cm de comprimento, com 1 pilar conectado a base por dispositivo especial de fixação; Barrote revestido com laminado de madeira, similar ao barrote de competição; Ajuste de altura: 5 em 5 cm; Altura Barrote 125 a 190 cm e 80 a 120 cm. Distribuídos de acordo com as necessidades dos núcleos dos projetos. MC: 1 unidade x 5 núcleos.</t>
  </si>
  <si>
    <t>Mimilon</t>
  </si>
  <si>
    <t>Azul Esportes</t>
  </si>
  <si>
    <t>Gymmy</t>
  </si>
  <si>
    <t>5.2</t>
  </si>
  <si>
    <t>Colchão 190x125x6 cm modelo “Sarneige”</t>
  </si>
  <si>
    <t>Confeccionado com lona de PVC/Poliéster de alta resistência; Com respirador, fecho; Espuma D 80; Ponteiras de couro; Velcro de 50 mm para união com outro colchão. Distribuídos de acordo com as necessidades dos núcleos dos projetos. MC: 5 unidades x 5 núcleos.</t>
  </si>
  <si>
    <t>Strong Fit</t>
  </si>
  <si>
    <t>Pista e Campo</t>
  </si>
  <si>
    <t>Morosi Colchões</t>
  </si>
  <si>
    <t>5.3</t>
  </si>
  <si>
    <t>Colchão treinamento 250 x 140 x 18 cm</t>
  </si>
  <si>
    <t>Camada de 180 mm de espuma de poliuretano de média densidade; Confeccionado com lona de PVC/Poliéster de alta resistência;Com respirador, fecho e Espuma D 23. Distribuídos de acordo com as necessidades dos núcleos dos projetos. MC: 2 unidades x 5 núcleos.</t>
  </si>
  <si>
    <t>SS Esportes</t>
  </si>
  <si>
    <t xml:space="preserve">Gears </t>
  </si>
  <si>
    <t>5.4</t>
  </si>
  <si>
    <t xml:space="preserve">Colchão treinamento 300 x 140 x 18 cm </t>
  </si>
  <si>
    <t>Camada de 180 mm de espuma de poliuretano de média
densidade; Confeccionado com lona de PVC/Poliéster de alta resistência; Com respirador, fecho e Espuma D 23. Distribuídos de acordo com as necessidades dos núcleos dos projetos. MC: 8 unidades x 5 núcleos. MC: 8 unidades x 5 núcleos.</t>
  </si>
  <si>
    <t>5.5</t>
  </si>
  <si>
    <t>Colchão treinamento 300 x 190 x 30 cm</t>
  </si>
  <si>
    <t>Camada de 300 mm de espuma de poliuretano de média densidade; Confeccionado com lona de PVC/Poliéster de alta resistência; Com respirador, fecho e Espuma D 23. Distribuídos de acordo com as necessidades dos núcleos dos projetos. MC: 2 unidades x 5 núcleos.</t>
  </si>
  <si>
    <t xml:space="preserve">Strong Fit </t>
  </si>
  <si>
    <t>Rampazo Esportes</t>
  </si>
  <si>
    <t>5.6</t>
  </si>
  <si>
    <t>Esteira de corrida para Mesa de Salto</t>
  </si>
  <si>
    <t>Esteira em espuma Cross-link FLEXFOAM; Carpete fundido na parte superior; 14 x 1 m x 25 mm. Distribuídos de acordo com as necessidades dos núcleos dos projetos. MC: 1 unidade x 5 núcleos.</t>
  </si>
  <si>
    <t>5.7</t>
  </si>
  <si>
    <t>Mesa de Salto Junior</t>
  </si>
  <si>
    <t>Área de apoio constituída em aço, proteção de salto por meio de estofamento FLEXFOAM na parte superior; Ajuste de altura de 80 a 115 cm por meio de botão parafuso; Base em aço; Pés antiderrapantes. Distribuídos de acordo com as necessidades dos núcleos dos projetos. MC: 1 unidade x 5 núcleos.</t>
  </si>
  <si>
    <t>5.8</t>
  </si>
  <si>
    <t xml:space="preserve">Open-end Mini-Trampolim, 125 x 120 cm, Lona 70 x 60 cm, 32 molas,
Proteção de molas; </t>
  </si>
  <si>
    <t>Estrutura: tubo de aço oval-plano; Pernas: tubo de aço redondo; Lona de salto: 70 x 60 cm, Fitas de nylon 6.6 de 13 mm; 32 molas de aço carbono galvanizadas de 185 mm; Proteção de molas e estruturas de FLEXFOAM de 20 mm;Peso total: 45 Kg. Distribuídos de acordo com as necessidades dos núcleos dos projetos. MC: 1 unidade x 5 núcleos.</t>
  </si>
  <si>
    <t>Unicycle Voltige</t>
  </si>
  <si>
    <t>5.9</t>
  </si>
  <si>
    <t>Paralela Assimétrica Junior</t>
  </si>
  <si>
    <t>Consiste em duas bases de aço 180 cm de comprimento, com 2 pilares conectados a base por dispositivo especial de fixação; Barrote revestido com laminado de madeira, similar ao barrote de competição; Ajuste de altura: 5 em 5 cm; Altura Barrote 125 a 190 cm e 80 a 120 cm; Distribuídos de acordo com as necessidades dos núcleos dos projetos. MC: 1 unidade x 5 núcleos.</t>
  </si>
  <si>
    <t>5.10</t>
  </si>
  <si>
    <t>Pista Elástica</t>
  </si>
  <si>
    <t>1 esteira Cross-Link FLEXFOAM D30 de 1200 x 200 cm x 30 mm, garantindo a mesma elasticidade em todo solo; Parte inferior de 1200 x 200 cm composta por chapas de compensado naval de 15 mm de alta qualidade de 160x200 cm, formando a base com 36 molas de aço; Conjunto de 276 molas de compressão de aço carbono DIN 17223C galvanizada de 115 x 49 mm; Suporte de encaixe para molas em nylon por meio de parafuso e porca garra em aço galvanizado; Sistema de Velcro para união entre as placas e fixação da estrutura; 2 correias com catracas para união de todas as placas. Distribuídos de acordo com as necessidades dos núcleos dos projetos. MC: 1 unidade x 5 núcleos.</t>
  </si>
  <si>
    <t xml:space="preserve">Air Track Italia </t>
  </si>
  <si>
    <t>5.11</t>
  </si>
  <si>
    <t>Plano Inclinado 190 x 125 x 35 cm</t>
  </si>
  <si>
    <t>Confeccionado em espuma de alta densidade; Confeccionado com lona de PVC/Poliéster de alta resistência; com respirador, fecho; alça para transporte. Distribuídos de acordo com as necessidades dos núcleos dos projetos. MC: 1 unidade x 5 núcleos.</t>
  </si>
  <si>
    <t>5.12</t>
  </si>
  <si>
    <t xml:space="preserve">Plinto de espuma Piramidal </t>
  </si>
  <si>
    <t>Com 4 estágios; Confeccionado com lona de PVC/Poliéster de alta resistência; Com respirador, fecho e Espuma D 30; Base 70 cm, Topo 35 cm, comp. 95 cm. Distribuídos de acordo com as necessidades dos núcleos dos projetos. MC: 1 unidade x 5 núcleos.</t>
  </si>
  <si>
    <t>5.13</t>
  </si>
  <si>
    <t xml:space="preserve">Plinto de Madeira Piramidal </t>
  </si>
  <si>
    <t>Com 6 estágios; Confeccionado em madeira; Medida: 110x70x110 cm; Rodas para transporte. Distribuídos de acordo com as necessidades dos núcleos dos projetos. MC: 1 unidade x 5 núcleos.</t>
  </si>
  <si>
    <t>5.14</t>
  </si>
  <si>
    <t xml:space="preserve">Tapete - tablado e/ou piso amortecedor </t>
  </si>
  <si>
    <t>Material/equipamento esportivo para as atividades de ginástica previstas no projeto, visando a melhor execução das atividades. Distribuídos de acordo com as necessidades dos núcleos dos projetos. MC: 1 unidade x 5 núcleos.</t>
  </si>
  <si>
    <t>DGS</t>
  </si>
  <si>
    <t>5.15</t>
  </si>
  <si>
    <t xml:space="preserve">Trampolim Suave Junior </t>
  </si>
  <si>
    <t>Área de salto composta por Fibra de Vidro de 7 mm; Base de aço carbono com 4 patas antiderrapantes; Revestido com 20 mm de espuma densidade AG 180 e carpete; Composto por 8 molas de aço carbono e elevada elasticidade; Medidas:100x50x21 cm, 22 kg; Para ginastas de até 50 kg; Distribuídos de acordo com as necessidades dos núcleos dos projetos. MC: 2 unidades x 5 núcleos.</t>
  </si>
  <si>
    <t>5.16</t>
  </si>
  <si>
    <t>Trampolim Track, 200 cm, Lona 145 cm, Proteção de molas</t>
  </si>
  <si>
    <t>12 m; Estrutura: Tubo de aço; Pernas: Tubo de aço retangular; Lona de salto: PVC/Poliéster reforçada; Molas de aço carbono galvanizadas de 185 mm de alto desempenho; Proteção de molas e estrutura de FLEXFOAM de 20 mm. Distribuídos de acordo com as necessidades dos núcleos dos projetos. MC: 1 unidade x 5 núcleos.</t>
  </si>
  <si>
    <t>Gym Aid</t>
  </si>
  <si>
    <t>5.17</t>
  </si>
  <si>
    <t>Trave de Equilíbrio Junior Alta</t>
  </si>
  <si>
    <t>A trave de 250 cm x 10 cm, confeccionada com uma viga; totalmente em alumínio extrudado indeformável com extremidades protegidas por tampa de borracha; revestida com estofamento e com couro artificial antiderrapante e que absorve o suor; altura; 100 cm; pés antiderrapantes. Distribuídos de acordo com as necessidades dos núcleos dos projetos. MC: 1 unidade x 5 núcleos.</t>
  </si>
  <si>
    <t>5.18</t>
  </si>
  <si>
    <t>Trave de Equilíbrio Junior Baixa</t>
  </si>
  <si>
    <t>A trave de 250 cm x 10 cm, confeccionada com corpo em aço; extremidades protegidas por tampas de borracha; revestida com estofamento macio e com couro artificial antiderrapante que absorve o suor; altura fixa: 50 cm; pés antiderrapantes. Distribuídos de acordo com as necessidades dos núcleos dos projetos. MC: 1 unidade x 5 núcleos.</t>
  </si>
  <si>
    <t>Serviços Operacionais - Atividade Fim</t>
  </si>
  <si>
    <t>6.1</t>
  </si>
  <si>
    <t>Coordenação de Marketing</t>
  </si>
  <si>
    <t>Contratação de serviços de coordenação de marketing para o projeto. Contempla serviços desde aprovação até a finalização de layouts, gestão de mídias e informativos das atividades, publicidade e transparência da realização do projeto.  MC: 1 serviço x 12 meses.</t>
  </si>
  <si>
    <t>Serviço</t>
  </si>
  <si>
    <t>Mês</t>
  </si>
  <si>
    <t>Painel de Preços</t>
  </si>
  <si>
    <t>6.2</t>
  </si>
  <si>
    <t>6.4</t>
  </si>
  <si>
    <t>Equipamento de sistema de som para ser utilizado durante evento festivo dos núcleos. MC: 1 serviço x 5 núcleos</t>
  </si>
  <si>
    <t>Premiação - Atividade Fim</t>
  </si>
  <si>
    <t>7.1</t>
  </si>
  <si>
    <t xml:space="preserve">Medalhas </t>
  </si>
  <si>
    <t>Medalhas de participação para premiar a participação dos alunos durante evento festivo dos núcleos. MC: 1 unidade x 200 alunos.</t>
  </si>
  <si>
    <t xml:space="preserve">Total Despesas Atividade Fim: </t>
  </si>
  <si>
    <t>ATIVIDADE MEIO</t>
  </si>
  <si>
    <t>Divulgação/Promoção - Atividade Meio</t>
  </si>
  <si>
    <t>Banner</t>
  </si>
  <si>
    <t>Material para compor a parte de divulgação e promoção do projeto, com aplicação das logos, parceiros, e marcas do Governo e LIE. Previsto 5 unidades para o período de execução.</t>
  </si>
  <si>
    <t>Serviços de Terceiros - Atividade Meio</t>
  </si>
  <si>
    <t>Serviço de Prestação de Contas</t>
  </si>
  <si>
    <t>Contratação pessoa jurídica especializada para prestação de serviços de prestação de contas, com acompanhamento financeiro de desembolso dos recursos para a execução do projeto e das prestações de contas parcial e final do projeto. MC: 1 Serviço x 12 meses.</t>
  </si>
  <si>
    <t xml:space="preserve">Total Despesas Atividade Meio: </t>
  </si>
  <si>
    <t>Total Atividade Fim + Meio</t>
  </si>
  <si>
    <t>Valor de Elaboração / Captação</t>
  </si>
  <si>
    <t>Valor Total do Projeto</t>
  </si>
  <si>
    <t xml:space="preserve">Segunda </t>
  </si>
  <si>
    <t xml:space="preserve">Terça </t>
  </si>
  <si>
    <t xml:space="preserve">Quarta </t>
  </si>
  <si>
    <t xml:space="preserve">Quinta </t>
  </si>
  <si>
    <t xml:space="preserve">Sexta </t>
  </si>
  <si>
    <t>Manhã</t>
  </si>
  <si>
    <t>06:00 - 06:50</t>
  </si>
  <si>
    <t>07:00 - 07:50</t>
  </si>
  <si>
    <t>08:00 - 08:50</t>
  </si>
  <si>
    <t>09:00 - 09:50</t>
  </si>
  <si>
    <t>10:00 - 10:50</t>
  </si>
  <si>
    <t>11:00 -11:50</t>
  </si>
  <si>
    <t xml:space="preserve">almoço </t>
  </si>
  <si>
    <t>Tarde</t>
  </si>
  <si>
    <t xml:space="preserve">14:00 - 14:50 </t>
  </si>
  <si>
    <t>15:00 - 15:50</t>
  </si>
  <si>
    <t>16:00 - 16:50</t>
  </si>
  <si>
    <t>17:00 - 17:50</t>
  </si>
  <si>
    <t>18:00 - 18:50</t>
  </si>
  <si>
    <t>19:00 - 19:50</t>
  </si>
  <si>
    <t xml:space="preserve">Ginástica </t>
  </si>
  <si>
    <t xml:space="preserve">Tênis de Mesa </t>
  </si>
  <si>
    <t xml:space="preserve">Jui Jitsu </t>
  </si>
  <si>
    <t xml:space="preserve">Ginástica 1 </t>
  </si>
  <si>
    <t>Ginástica 2</t>
  </si>
  <si>
    <t>Ginástica 3</t>
  </si>
  <si>
    <t xml:space="preserve">Ginástica 4 </t>
  </si>
  <si>
    <t>Ginástica 5</t>
  </si>
  <si>
    <t>Ginástica 6</t>
  </si>
  <si>
    <t xml:space="preserve">Tenis de mesa 1 </t>
  </si>
  <si>
    <t xml:space="preserve">Tenis de mesa 2 </t>
  </si>
  <si>
    <t>Tenis de mesa 3</t>
  </si>
  <si>
    <t>Tenis de mesa 4</t>
  </si>
  <si>
    <t xml:space="preserve">Jui Jitsu 1 </t>
  </si>
  <si>
    <t>Jui Jitsu 2</t>
  </si>
  <si>
    <t xml:space="preserve">Tenis de mesa 1 /  Jui Jitsu 3 </t>
  </si>
  <si>
    <t>Tenis de mesa 2 /  Jui Jitsu 4</t>
  </si>
  <si>
    <t>Tenis de mesa 3 / Jui Jitsu 5</t>
  </si>
  <si>
    <t>Tenis de mesa 4 / Jui Jitsu 6</t>
  </si>
  <si>
    <t xml:space="preserve">1 Professor </t>
  </si>
  <si>
    <t xml:space="preserve">1 Monitor </t>
  </si>
  <si>
    <t xml:space="preserve">1 Gerente Geral </t>
  </si>
  <si>
    <t xml:space="preserve">1 Coordenador Técnico </t>
  </si>
  <si>
    <t xml:space="preserve">1 Pscicologo </t>
  </si>
  <si>
    <t xml:space="preserve">1 Assistente </t>
  </si>
  <si>
    <t xml:space="preserve">Gerente Geral </t>
  </si>
  <si>
    <t xml:space="preserve">Coordenador Téncico </t>
  </si>
  <si>
    <t xml:space="preserve">Professor </t>
  </si>
  <si>
    <t xml:space="preserve">Monitor </t>
  </si>
  <si>
    <t xml:space="preserve">Psicologo </t>
  </si>
  <si>
    <t xml:space="preserve">Assistente Social </t>
  </si>
  <si>
    <t xml:space="preserve">Encargos Trabalhistas - Professor </t>
  </si>
  <si>
    <t>Encargos Trabalhistas - Monitor</t>
  </si>
  <si>
    <t xml:space="preserve">Encargos Trabalhistas - Psicologo </t>
  </si>
  <si>
    <t xml:space="preserve">Encargos Trabalhistas - assistente social </t>
  </si>
  <si>
    <t xml:space="preserve">Camisa </t>
  </si>
  <si>
    <t>Short</t>
  </si>
  <si>
    <t>Short Compressão</t>
  </si>
  <si>
    <t>Top</t>
  </si>
  <si>
    <t>3.5</t>
  </si>
  <si>
    <t xml:space="preserve">Kimono </t>
  </si>
  <si>
    <t xml:space="preserve">Faixa </t>
  </si>
  <si>
    <t>3.6</t>
  </si>
  <si>
    <t>3.7</t>
  </si>
  <si>
    <t>Raquete Tenis de mesa</t>
  </si>
  <si>
    <t>Raquete de tênis de mesa feito de madeira revestida com borracha em ambos os lados. Previsto 10 pares para o novo ano de execução</t>
  </si>
  <si>
    <t>Par</t>
  </si>
  <si>
    <t>Bola de Tênis de Mesa</t>
  </si>
  <si>
    <t>Bola de tênis de mesa; diâmetro: 40 mm. Classificação: 2/3 Estrelas. MC: 10 caixas com 3 unidade = 30 bolas para o período de execução do projeto.</t>
  </si>
  <si>
    <t>Unidades</t>
  </si>
  <si>
    <t xml:space="preserve">Rede </t>
  </si>
  <si>
    <t xml:space="preserve">Mesa de tenis de mesa </t>
  </si>
  <si>
    <t xml:space="preserve">Placar </t>
  </si>
  <si>
    <t xml:space="preserve">Tatame </t>
  </si>
  <si>
    <t>Serviços Operacional</t>
  </si>
  <si>
    <t xml:space="preserve">Serviço de limpeza </t>
  </si>
  <si>
    <t>Transporte/Locomoção</t>
  </si>
  <si>
    <t>12 Meses</t>
  </si>
  <si>
    <t>Transporte de Alunos</t>
  </si>
  <si>
    <t>Meses</t>
  </si>
  <si>
    <t>Alimentação</t>
  </si>
  <si>
    <t xml:space="preserve">Transporte Equipe multidiciplinar  / combustivel </t>
  </si>
  <si>
    <t xml:space="preserve">Assessoria Juridica </t>
  </si>
  <si>
    <t xml:space="preserve">Robo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</si>
</sst>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7" formatCode="_-&quot;R$&quot;\ * #,##0.00_-;\-&quot;R$&quot;\ * #,##0.00_-;_-&quot;R$&quot;\ * &quot;-&quot;??_-;_-@_-"/>
    <numFmt numFmtId="168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0"/>
      <color rgb="FFFFFFFF"/>
      <name val="Tahoma"/>
      <family val="2"/>
    </font>
    <font>
      <b/>
      <sz val="10"/>
      <color rgb="FF003366"/>
      <name val="Tahoma"/>
      <family val="2"/>
    </font>
    <font>
      <sz val="10"/>
      <color rgb="FF003366"/>
      <name val="Tahoma"/>
      <family val="2"/>
    </font>
    <font>
      <sz val="10"/>
      <name val="Tahoma"/>
      <family val="2"/>
    </font>
    <font>
      <sz val="10"/>
      <color rgb="FF0D0D0D"/>
      <name val="Tahoma"/>
      <family val="2"/>
    </font>
    <font>
      <sz val="10"/>
      <color theme="0"/>
      <name val="Tahoma"/>
      <family val="2"/>
    </font>
    <font>
      <sz val="11"/>
      <color indexed="8"/>
      <name val="Calibri"/>
    </font>
    <font>
      <sz val="10"/>
      <name val="Arial"/>
      <family val="2"/>
    </font>
    <font>
      <sz val="10"/>
      <color rgb="FF003366"/>
      <name val="Arial"/>
      <family val="2"/>
    </font>
    <font>
      <sz val="12"/>
      <color indexed="8"/>
      <name val="Verdana"/>
      <family val="2"/>
    </font>
    <font>
      <sz val="10"/>
      <color rgb="FFFFFFFF"/>
      <name val="Calibri"/>
      <family val="2"/>
      <scheme val="minor"/>
    </font>
    <font>
      <b/>
      <sz val="10"/>
      <color rgb="FF003366"/>
      <name val="Calibri"/>
      <family val="2"/>
      <scheme val="minor"/>
    </font>
    <font>
      <sz val="10"/>
      <color rgb="FF00336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28EAA"/>
        <bgColor indexed="64"/>
      </patternFill>
    </fill>
    <fill>
      <patternFill patternType="solid">
        <fgColor rgb="FFCCE3EA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Fill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5" fillId="0" borderId="0" applyNumberFormat="0" applyFill="0" applyBorder="0" applyProtection="0">
      <alignment vertical="top" wrapText="1"/>
    </xf>
    <xf numFmtId="0" fontId="1" fillId="0" borderId="0"/>
  </cellStyleXfs>
  <cellXfs count="151">
    <xf numFmtId="0" fontId="0" fillId="0" borderId="0" xfId="0"/>
    <xf numFmtId="0" fontId="3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4" fontId="7" fillId="0" borderId="1" xfId="2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8" fontId="5" fillId="7" borderId="1" xfId="0" applyNumberFormat="1" applyFont="1" applyFill="1" applyBorder="1" applyAlignment="1">
      <alignment horizontal="center" vertical="center" wrapText="1"/>
    </xf>
    <xf numFmtId="44" fontId="9" fillId="0" borderId="1" xfId="2" applyFont="1" applyFill="1" applyBorder="1" applyAlignment="1">
      <alignment horizontal="center" vertical="center" wrapText="1"/>
    </xf>
    <xf numFmtId="44" fontId="9" fillId="0" borderId="1" xfId="0" applyNumberFormat="1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44" fontId="5" fillId="0" borderId="12" xfId="2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/>
    </xf>
    <xf numFmtId="44" fontId="5" fillId="0" borderId="12" xfId="2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44" fontId="5" fillId="9" borderId="12" xfId="2" applyFont="1" applyFill="1" applyBorder="1" applyAlignment="1">
      <alignment vertical="center"/>
    </xf>
    <xf numFmtId="0" fontId="5" fillId="7" borderId="14" xfId="0" applyFont="1" applyFill="1" applyBorder="1" applyAlignment="1">
      <alignment horizontal="center" vertical="center" wrapText="1"/>
    </xf>
    <xf numFmtId="44" fontId="9" fillId="0" borderId="14" xfId="2" applyFont="1" applyFill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4" fontId="8" fillId="0" borderId="1" xfId="2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4" fontId="9" fillId="0" borderId="3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4" fontId="8" fillId="0" borderId="3" xfId="2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4" fontId="9" fillId="2" borderId="0" xfId="2" applyFont="1" applyFill="1" applyBorder="1" applyAlignment="1">
      <alignment horizontal="center" vertical="center" wrapText="1"/>
    </xf>
    <xf numFmtId="44" fontId="5" fillId="0" borderId="0" xfId="0" applyNumberFormat="1" applyFont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9" borderId="16" xfId="2" applyFont="1" applyFill="1" applyBorder="1" applyAlignment="1">
      <alignment vertical="center"/>
    </xf>
    <xf numFmtId="44" fontId="5" fillId="0" borderId="12" xfId="2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4" fontId="9" fillId="2" borderId="3" xfId="0" applyNumberFormat="1" applyFont="1" applyFill="1" applyBorder="1" applyAlignment="1">
      <alignment horizontal="center" vertical="center" wrapText="1"/>
    </xf>
    <xf numFmtId="4" fontId="8" fillId="2" borderId="3" xfId="0" applyNumberFormat="1" applyFont="1" applyFill="1" applyBorder="1" applyAlignment="1">
      <alignment horizontal="right" vertical="center" wrapText="1"/>
    </xf>
    <xf numFmtId="44" fontId="7" fillId="0" borderId="4" xfId="2" applyFont="1" applyFill="1" applyBorder="1" applyAlignment="1">
      <alignment vertical="center" wrapText="1"/>
    </xf>
    <xf numFmtId="44" fontId="7" fillId="0" borderId="1" xfId="2" applyFont="1" applyBorder="1" applyAlignment="1">
      <alignment horizontal="right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0" fontId="5" fillId="7" borderId="0" xfId="0" applyFont="1" applyFill="1"/>
    <xf numFmtId="44" fontId="9" fillId="2" borderId="1" xfId="2" applyFont="1" applyFill="1" applyBorder="1" applyAlignment="1">
      <alignment horizontal="center" vertical="center" wrapText="1"/>
    </xf>
    <xf numFmtId="0" fontId="5" fillId="0" borderId="12" xfId="0" applyFont="1" applyBorder="1"/>
    <xf numFmtId="44" fontId="5" fillId="0" borderId="12" xfId="2" applyFont="1" applyBorder="1"/>
    <xf numFmtId="44" fontId="9" fillId="0" borderId="3" xfId="0" applyNumberFormat="1" applyFont="1" applyBorder="1" applyAlignment="1">
      <alignment horizontal="center" vertical="center" wrapText="1"/>
    </xf>
    <xf numFmtId="44" fontId="8" fillId="0" borderId="3" xfId="0" applyNumberFormat="1" applyFont="1" applyBorder="1" applyAlignment="1">
      <alignment horizontal="center" vertical="center" wrapText="1"/>
    </xf>
    <xf numFmtId="44" fontId="9" fillId="2" borderId="0" xfId="0" applyNumberFormat="1" applyFont="1" applyFill="1" applyAlignment="1">
      <alignment horizontal="center" vertical="center" wrapText="1"/>
    </xf>
    <xf numFmtId="44" fontId="11" fillId="0" borderId="0" xfId="2" applyFont="1" applyFill="1" applyBorder="1" applyAlignment="1">
      <alignment vertical="center"/>
    </xf>
    <xf numFmtId="10" fontId="5" fillId="6" borderId="0" xfId="1" applyNumberFormat="1" applyFont="1" applyFill="1"/>
    <xf numFmtId="4" fontId="5" fillId="0" borderId="0" xfId="0" applyNumberFormat="1" applyFont="1"/>
    <xf numFmtId="44" fontId="5" fillId="0" borderId="0" xfId="2" applyFont="1"/>
    <xf numFmtId="0" fontId="5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4" fontId="0" fillId="0" borderId="12" xfId="2" applyFont="1" applyBorder="1" applyAlignment="1">
      <alignment horizontal="center" vertical="center" wrapText="1"/>
    </xf>
    <xf numFmtId="44" fontId="0" fillId="0" borderId="17" xfId="2" applyFont="1" applyBorder="1" applyAlignment="1">
      <alignment horizontal="center" vertical="center" wrapText="1"/>
    </xf>
    <xf numFmtId="44" fontId="0" fillId="0" borderId="18" xfId="2" applyFont="1" applyBorder="1" applyAlignment="1">
      <alignment horizontal="center" vertical="center" wrapText="1"/>
    </xf>
    <xf numFmtId="44" fontId="5" fillId="0" borderId="15" xfId="2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44" fontId="7" fillId="0" borderId="4" xfId="2" applyFont="1" applyBorder="1" applyAlignment="1">
      <alignment vertical="center" wrapText="1"/>
    </xf>
    <xf numFmtId="44" fontId="7" fillId="0" borderId="4" xfId="2" applyFont="1" applyBorder="1"/>
    <xf numFmtId="0" fontId="0" fillId="7" borderId="12" xfId="0" applyFill="1" applyBorder="1" applyAlignment="1">
      <alignment horizontal="center" vertical="center" wrapText="1"/>
    </xf>
    <xf numFmtId="44" fontId="0" fillId="7" borderId="12" xfId="2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/>
    </xf>
    <xf numFmtId="0" fontId="7" fillId="5" borderId="3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7" borderId="0" xfId="0" applyFill="1"/>
    <xf numFmtId="0" fontId="12" fillId="7" borderId="0" xfId="4" applyFill="1" applyProtection="1"/>
    <xf numFmtId="0" fontId="12" fillId="7" borderId="0" xfId="4" applyFill="1" applyAlignment="1" applyProtection="1">
      <alignment horizontal="center"/>
    </xf>
    <xf numFmtId="0" fontId="9" fillId="7" borderId="0" xfId="0" applyFont="1" applyFill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 wrapText="1"/>
    </xf>
    <xf numFmtId="44" fontId="5" fillId="0" borderId="0" xfId="2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44" fontId="5" fillId="0" borderId="0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44" fontId="5" fillId="9" borderId="0" xfId="2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4" fontId="0" fillId="0" borderId="0" xfId="2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7" fontId="14" fillId="0" borderId="1" xfId="5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7" fontId="9" fillId="0" borderId="1" xfId="5" applyFont="1" applyFill="1" applyBorder="1" applyAlignment="1">
      <alignment horizontal="center" vertical="center" wrapText="1"/>
    </xf>
    <xf numFmtId="0" fontId="16" fillId="3" borderId="1" xfId="8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167" fontId="9" fillId="0" borderId="0" xfId="5" applyFont="1" applyFill="1" applyBorder="1" applyAlignment="1">
      <alignment horizontal="center" vertical="center" wrapText="1"/>
    </xf>
    <xf numFmtId="167" fontId="14" fillId="0" borderId="0" xfId="5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167" fontId="14" fillId="0" borderId="1" xfId="5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7" fontId="9" fillId="0" borderId="1" xfId="5" applyFont="1" applyFill="1" applyBorder="1" applyAlignment="1">
      <alignment horizontal="center" vertical="center" wrapText="1"/>
    </xf>
    <xf numFmtId="0" fontId="16" fillId="3" borderId="2" xfId="8" applyFont="1" applyFill="1" applyBorder="1" applyAlignment="1">
      <alignment horizontal="center" vertical="center" wrapText="1"/>
    </xf>
    <xf numFmtId="0" fontId="16" fillId="3" borderId="4" xfId="8" applyFont="1" applyFill="1" applyBorder="1" applyAlignment="1">
      <alignment horizontal="center" vertical="center" wrapText="1"/>
    </xf>
    <xf numFmtId="0" fontId="16" fillId="3" borderId="3" xfId="8" applyFont="1" applyFill="1" applyBorder="1" applyAlignment="1">
      <alignment horizontal="center" vertical="center" wrapText="1"/>
    </xf>
    <xf numFmtId="0" fontId="17" fillId="2" borderId="1" xfId="8" applyFont="1" applyFill="1" applyBorder="1" applyAlignment="1">
      <alignment horizontal="center" vertical="center" wrapText="1"/>
    </xf>
    <xf numFmtId="0" fontId="17" fillId="2" borderId="2" xfId="8" applyFont="1" applyFill="1" applyBorder="1" applyAlignment="1">
      <alignment horizontal="center" vertical="center" wrapText="1"/>
    </xf>
    <xf numFmtId="0" fontId="17" fillId="2" borderId="3" xfId="8" applyFont="1" applyFill="1" applyBorder="1" applyAlignment="1">
      <alignment horizontal="center" vertical="center" wrapText="1"/>
    </xf>
    <xf numFmtId="0" fontId="17" fillId="2" borderId="4" xfId="8" applyFont="1" applyFill="1" applyBorder="1" applyAlignment="1">
      <alignment horizontal="center" vertical="center" wrapText="1"/>
    </xf>
    <xf numFmtId="44" fontId="17" fillId="0" borderId="1" xfId="2" applyFont="1" applyFill="1" applyBorder="1" applyAlignment="1">
      <alignment horizontal="right" vertical="center" wrapText="1"/>
    </xf>
    <xf numFmtId="0" fontId="18" fillId="4" borderId="11" xfId="8" applyFont="1" applyFill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44" fontId="20" fillId="7" borderId="1" xfId="0" applyNumberFormat="1" applyFont="1" applyFill="1" applyBorder="1" applyAlignment="1">
      <alignment vertical="center"/>
    </xf>
    <xf numFmtId="0" fontId="20" fillId="0" borderId="0" xfId="0" applyFont="1" applyBorder="1" applyAlignment="1">
      <alignment horizontal="center" vertical="center" wrapText="1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20" fillId="7" borderId="0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/>
    </xf>
    <xf numFmtId="0" fontId="19" fillId="0" borderId="8" xfId="8" applyFont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44" fontId="20" fillId="7" borderId="10" xfId="0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 applyProtection="1">
      <alignment horizontal="center" vertical="center"/>
      <protection locked="0"/>
    </xf>
    <xf numFmtId="44" fontId="18" fillId="7" borderId="14" xfId="2" applyFont="1" applyFill="1" applyBorder="1" applyAlignment="1">
      <alignment horizontal="center" vertical="center" wrapText="1"/>
    </xf>
    <xf numFmtId="44" fontId="18" fillId="7" borderId="1" xfId="2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44" fontId="9" fillId="10" borderId="1" xfId="2" applyFont="1" applyFill="1" applyBorder="1" applyAlignment="1">
      <alignment horizontal="center" vertical="center" wrapText="1"/>
    </xf>
    <xf numFmtId="44" fontId="8" fillId="10" borderId="1" xfId="2" applyFont="1" applyFill="1" applyBorder="1" applyAlignment="1">
      <alignment horizontal="center" vertical="center" wrapText="1"/>
    </xf>
    <xf numFmtId="44" fontId="5" fillId="10" borderId="1" xfId="2" applyFont="1" applyFill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44" fontId="5" fillId="10" borderId="0" xfId="2" applyFont="1" applyFill="1" applyBorder="1" applyAlignment="1">
      <alignment horizontal="center" vertical="center" wrapText="1"/>
    </xf>
  </cellXfs>
  <cellStyles count="9">
    <cellStyle name="Moeda" xfId="2" builtinId="4"/>
    <cellStyle name="Moeda 2" xfId="3" xr:uid="{B5F9268D-2D90-46C2-B151-950234C5A35E}"/>
    <cellStyle name="Moeda 3" xfId="5" xr:uid="{39DADBF3-F0A5-4ABB-8285-9F8945119172}"/>
    <cellStyle name="Normal" xfId="0" builtinId="0"/>
    <cellStyle name="Normal 2" xfId="4" xr:uid="{C71E44BD-946D-4F12-B571-0DBCACE36A5D}"/>
    <cellStyle name="Normal 3" xfId="8" xr:uid="{2B71AE1F-1996-4C8B-8959-0C3ED5A68FE9}"/>
    <cellStyle name="Normal 9" xfId="7" xr:uid="{44BBB803-E67F-4124-9016-BF12F644A498}"/>
    <cellStyle name="Porcentagem" xfId="1" builtinId="5"/>
    <cellStyle name="Vírgula 2" xfId="6" xr:uid="{C50A40C1-A7C5-4A7B-ACF7-330C25EEAE52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FDFDF"/>
      <color rgb="FFFF66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0"/>
  <sheetViews>
    <sheetView tabSelected="1" topLeftCell="A27" zoomScale="90" zoomScaleNormal="90" workbookViewId="0">
      <selection activeCell="G74" sqref="G74"/>
    </sheetView>
  </sheetViews>
  <sheetFormatPr defaultColWidth="8.88671875" defaultRowHeight="13.2" x14ac:dyDescent="0.25"/>
  <cols>
    <col min="1" max="1" width="5.88671875" style="1" customWidth="1"/>
    <col min="2" max="2" width="23.109375" style="1" customWidth="1"/>
    <col min="3" max="3" width="57.109375" style="1" customWidth="1"/>
    <col min="4" max="4" width="16.33203125" style="1" customWidth="1"/>
    <col min="5" max="5" width="10" style="1" customWidth="1"/>
    <col min="6" max="6" width="9" style="1" bestFit="1" customWidth="1"/>
    <col min="7" max="7" width="11.88671875" style="1" bestFit="1" customWidth="1"/>
    <col min="8" max="8" width="16.88671875" style="1" customWidth="1"/>
    <col min="9" max="9" width="20.33203125" style="1" customWidth="1"/>
    <col min="10" max="10" width="7.6640625" style="1" customWidth="1"/>
    <col min="11" max="11" width="17.88671875" style="1" customWidth="1"/>
    <col min="12" max="12" width="16.109375" style="1" customWidth="1"/>
    <col min="13" max="13" width="18.44140625" style="1" customWidth="1"/>
    <col min="14" max="14" width="14.88671875" style="1" bestFit="1" customWidth="1"/>
    <col min="15" max="15" width="18.109375" style="1" customWidth="1"/>
    <col min="16" max="16" width="17.6640625" style="1" customWidth="1"/>
    <col min="17" max="17" width="18.109375" style="1" customWidth="1"/>
    <col min="18" max="16384" width="8.88671875" style="1"/>
  </cols>
  <sheetData>
    <row r="1" spans="1:17" x14ac:dyDescent="0.25">
      <c r="A1" s="79" t="s">
        <v>0</v>
      </c>
      <c r="B1" s="80"/>
      <c r="C1" s="80"/>
      <c r="D1" s="80"/>
      <c r="E1" s="80"/>
      <c r="F1" s="80"/>
      <c r="G1" s="80"/>
      <c r="H1" s="80"/>
      <c r="I1" s="81"/>
      <c r="J1" s="2"/>
      <c r="K1" s="2"/>
      <c r="L1" s="2"/>
      <c r="M1" s="2"/>
      <c r="N1" s="2"/>
      <c r="O1" s="2"/>
      <c r="P1" s="2"/>
      <c r="Q1" s="2"/>
    </row>
    <row r="2" spans="1:17" x14ac:dyDescent="0.25">
      <c r="A2" s="82"/>
      <c r="B2" s="83"/>
      <c r="C2" s="83"/>
      <c r="D2" s="83"/>
      <c r="E2" s="83"/>
      <c r="F2" s="83"/>
      <c r="G2" s="83"/>
      <c r="H2" s="83"/>
      <c r="I2" s="84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 t="s">
        <v>1</v>
      </c>
      <c r="B3" s="74" t="s">
        <v>2</v>
      </c>
      <c r="C3" s="75"/>
      <c r="D3" s="4" t="s">
        <v>3</v>
      </c>
      <c r="E3" s="4" t="s">
        <v>4</v>
      </c>
      <c r="F3" s="74" t="s">
        <v>5</v>
      </c>
      <c r="G3" s="76"/>
      <c r="H3" s="75"/>
      <c r="I3" s="4" t="s">
        <v>6</v>
      </c>
      <c r="J3" s="2"/>
      <c r="K3" s="2"/>
      <c r="L3" s="2"/>
      <c r="M3" s="2"/>
      <c r="N3" s="2"/>
      <c r="O3" s="2"/>
      <c r="P3" s="2"/>
      <c r="Q3" s="2"/>
    </row>
    <row r="4" spans="1:17" x14ac:dyDescent="0.25">
      <c r="A4" s="5">
        <v>1</v>
      </c>
      <c r="B4" s="70" t="s">
        <v>7</v>
      </c>
      <c r="C4" s="70"/>
      <c r="D4" s="71"/>
      <c r="E4" s="6" t="s">
        <v>8</v>
      </c>
      <c r="F4" s="69" t="s">
        <v>9</v>
      </c>
      <c r="G4" s="70"/>
      <c r="H4" s="71"/>
      <c r="I4" s="7">
        <f>SUM(I6:I11)</f>
        <v>499945.32</v>
      </c>
      <c r="J4" s="2"/>
      <c r="K4" s="2"/>
      <c r="L4" s="2"/>
      <c r="M4" s="2"/>
      <c r="N4" s="2"/>
      <c r="O4" s="2"/>
      <c r="P4" s="2"/>
      <c r="Q4" s="2"/>
    </row>
    <row r="5" spans="1:17" x14ac:dyDescent="0.25">
      <c r="A5" s="8" t="s">
        <v>1</v>
      </c>
      <c r="B5" s="8" t="s">
        <v>10</v>
      </c>
      <c r="C5" s="8" t="s">
        <v>11</v>
      </c>
      <c r="D5" s="8" t="s">
        <v>3</v>
      </c>
      <c r="E5" s="8" t="s">
        <v>12</v>
      </c>
      <c r="F5" s="8" t="s">
        <v>4</v>
      </c>
      <c r="G5" s="8" t="s">
        <v>12</v>
      </c>
      <c r="H5" s="8" t="s">
        <v>13</v>
      </c>
      <c r="I5" s="8" t="s">
        <v>6</v>
      </c>
      <c r="J5" s="2"/>
      <c r="K5" s="9" t="s">
        <v>14</v>
      </c>
      <c r="L5" s="9" t="s">
        <v>15</v>
      </c>
      <c r="M5" s="9" t="s">
        <v>16</v>
      </c>
      <c r="N5" s="9" t="s">
        <v>15</v>
      </c>
      <c r="O5" s="9" t="s">
        <v>17</v>
      </c>
      <c r="P5" s="9" t="s">
        <v>15</v>
      </c>
      <c r="Q5" s="9" t="s">
        <v>18</v>
      </c>
    </row>
    <row r="6" spans="1:17" x14ac:dyDescent="0.25">
      <c r="A6" s="12" t="s">
        <v>19</v>
      </c>
      <c r="B6" s="11" t="s">
        <v>216</v>
      </c>
      <c r="C6" s="11"/>
      <c r="D6" s="11">
        <v>1</v>
      </c>
      <c r="E6" s="12" t="s">
        <v>20</v>
      </c>
      <c r="F6" s="11">
        <v>12</v>
      </c>
      <c r="G6" s="13" t="s">
        <v>21</v>
      </c>
      <c r="H6" s="14">
        <v>7000</v>
      </c>
      <c r="I6" s="15">
        <f>H6*F6*D6</f>
        <v>84000</v>
      </c>
      <c r="J6" s="2"/>
      <c r="K6" s="16" t="s">
        <v>22</v>
      </c>
      <c r="L6" s="17">
        <v>9684.73</v>
      </c>
      <c r="M6" s="18"/>
      <c r="N6" s="19"/>
      <c r="O6" s="20"/>
      <c r="P6" s="19"/>
      <c r="Q6" s="21">
        <f>IFERROR(AVERAGE(L6,N6,P6),0)</f>
        <v>9684.73</v>
      </c>
    </row>
    <row r="7" spans="1:17" x14ac:dyDescent="0.25">
      <c r="A7" s="12"/>
      <c r="B7" s="22" t="s">
        <v>217</v>
      </c>
      <c r="C7" s="22"/>
      <c r="D7" s="22">
        <v>1</v>
      </c>
      <c r="E7" s="12" t="s">
        <v>20</v>
      </c>
      <c r="F7" s="22">
        <v>12</v>
      </c>
      <c r="G7" s="13" t="s">
        <v>21</v>
      </c>
      <c r="H7" s="23">
        <v>5000</v>
      </c>
      <c r="I7" s="15">
        <f t="shared" ref="I7:I11" si="0">H7*F7*D7</f>
        <v>60000</v>
      </c>
      <c r="J7" s="2"/>
      <c r="K7" s="16"/>
      <c r="L7" s="17"/>
      <c r="M7" s="18"/>
      <c r="N7" s="19"/>
      <c r="O7" s="20"/>
      <c r="P7" s="19"/>
      <c r="Q7" s="21"/>
    </row>
    <row r="8" spans="1:17" x14ac:dyDescent="0.25">
      <c r="A8" s="12"/>
      <c r="B8" s="22" t="s">
        <v>218</v>
      </c>
      <c r="C8" s="22"/>
      <c r="D8" s="22">
        <v>3</v>
      </c>
      <c r="E8" s="12" t="s">
        <v>20</v>
      </c>
      <c r="F8" s="22">
        <v>12</v>
      </c>
      <c r="G8" s="13" t="s">
        <v>21</v>
      </c>
      <c r="H8" s="23">
        <v>4000</v>
      </c>
      <c r="I8" s="15">
        <f t="shared" si="0"/>
        <v>144000</v>
      </c>
      <c r="J8" s="2"/>
      <c r="K8" s="16"/>
      <c r="L8" s="17"/>
      <c r="M8" s="18"/>
      <c r="N8" s="19"/>
      <c r="O8" s="20"/>
      <c r="P8" s="19"/>
      <c r="Q8" s="21"/>
    </row>
    <row r="9" spans="1:17" x14ac:dyDescent="0.25">
      <c r="A9" s="12"/>
      <c r="B9" s="22" t="s">
        <v>219</v>
      </c>
      <c r="C9" s="22"/>
      <c r="D9" s="22">
        <v>3</v>
      </c>
      <c r="E9" s="12" t="s">
        <v>20</v>
      </c>
      <c r="F9" s="22">
        <v>12</v>
      </c>
      <c r="G9" s="13" t="s">
        <v>21</v>
      </c>
      <c r="H9" s="23">
        <v>2500</v>
      </c>
      <c r="I9" s="15">
        <f t="shared" si="0"/>
        <v>90000</v>
      </c>
      <c r="J9" s="2"/>
      <c r="K9" s="16"/>
      <c r="L9" s="17"/>
      <c r="M9" s="18"/>
      <c r="N9" s="19"/>
      <c r="O9" s="20"/>
      <c r="P9" s="19"/>
      <c r="Q9" s="21"/>
    </row>
    <row r="10" spans="1:17" ht="66.75" customHeight="1" x14ac:dyDescent="0.25">
      <c r="A10" s="12" t="s">
        <v>23</v>
      </c>
      <c r="B10" s="22" t="s">
        <v>220</v>
      </c>
      <c r="C10" s="22" t="s">
        <v>24</v>
      </c>
      <c r="D10" s="22">
        <v>1</v>
      </c>
      <c r="E10" s="12" t="s">
        <v>20</v>
      </c>
      <c r="F10" s="22">
        <v>12</v>
      </c>
      <c r="G10" s="13" t="s">
        <v>21</v>
      </c>
      <c r="H10" s="23">
        <v>7662.11</v>
      </c>
      <c r="I10" s="15">
        <f t="shared" si="0"/>
        <v>91945.319999999992</v>
      </c>
      <c r="J10" s="2"/>
      <c r="K10" s="16" t="s">
        <v>25</v>
      </c>
      <c r="L10" s="17">
        <v>10000</v>
      </c>
      <c r="M10" s="16"/>
      <c r="N10" s="17"/>
      <c r="O10" s="24"/>
      <c r="P10" s="17"/>
      <c r="Q10" s="21">
        <f t="shared" ref="Q10:Q11" si="1">IFERROR(AVERAGE(L10,N10,P10),0)</f>
        <v>10000</v>
      </c>
    </row>
    <row r="11" spans="1:17" ht="81" customHeight="1" x14ac:dyDescent="0.25">
      <c r="A11" s="12" t="s">
        <v>26</v>
      </c>
      <c r="B11" s="22" t="s">
        <v>221</v>
      </c>
      <c r="C11" s="58" t="s">
        <v>27</v>
      </c>
      <c r="D11" s="22">
        <v>1</v>
      </c>
      <c r="E11" s="12" t="s">
        <v>20</v>
      </c>
      <c r="F11" s="22">
        <v>12</v>
      </c>
      <c r="G11" s="13" t="s">
        <v>21</v>
      </c>
      <c r="H11" s="23">
        <v>2500</v>
      </c>
      <c r="I11" s="15">
        <f t="shared" si="0"/>
        <v>30000</v>
      </c>
      <c r="J11" s="2"/>
      <c r="K11" s="16" t="s">
        <v>22</v>
      </c>
      <c r="L11" s="17">
        <v>3785.83</v>
      </c>
      <c r="M11" s="16"/>
      <c r="N11" s="17"/>
      <c r="O11" s="24"/>
      <c r="P11" s="17"/>
      <c r="Q11" s="21">
        <f t="shared" si="1"/>
        <v>3785.83</v>
      </c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3" t="s">
        <v>1</v>
      </c>
      <c r="B13" s="74" t="s">
        <v>2</v>
      </c>
      <c r="C13" s="75"/>
      <c r="D13" s="4" t="s">
        <v>3</v>
      </c>
      <c r="E13" s="4" t="s">
        <v>4</v>
      </c>
      <c r="F13" s="74" t="s">
        <v>5</v>
      </c>
      <c r="G13" s="76"/>
      <c r="H13" s="75"/>
      <c r="I13" s="4" t="s">
        <v>6</v>
      </c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5">
        <v>2</v>
      </c>
      <c r="B14" s="70" t="s">
        <v>28</v>
      </c>
      <c r="C14" s="70"/>
      <c r="D14" s="71"/>
      <c r="E14" s="6" t="s">
        <v>8</v>
      </c>
      <c r="F14" s="69" t="s">
        <v>9</v>
      </c>
      <c r="G14" s="70"/>
      <c r="H14" s="71"/>
      <c r="I14" s="7">
        <f>SUM(I16:I19)</f>
        <v>136962.5442</v>
      </c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5" t="s">
        <v>1</v>
      </c>
      <c r="B15" s="25" t="s">
        <v>10</v>
      </c>
      <c r="C15" s="25" t="s">
        <v>11</v>
      </c>
      <c r="D15" s="25" t="s">
        <v>3</v>
      </c>
      <c r="E15" s="25" t="s">
        <v>12</v>
      </c>
      <c r="F15" s="25" t="s">
        <v>4</v>
      </c>
      <c r="G15" s="25" t="s">
        <v>12</v>
      </c>
      <c r="H15" s="25" t="s">
        <v>13</v>
      </c>
      <c r="I15" s="25" t="s">
        <v>6</v>
      </c>
      <c r="J15" s="2"/>
      <c r="K15" s="9" t="s">
        <v>14</v>
      </c>
      <c r="L15" s="9" t="s">
        <v>15</v>
      </c>
      <c r="M15" s="9" t="s">
        <v>16</v>
      </c>
      <c r="N15" s="9" t="s">
        <v>15</v>
      </c>
      <c r="O15" s="9" t="s">
        <v>17</v>
      </c>
      <c r="P15" s="9" t="s">
        <v>15</v>
      </c>
      <c r="Q15" s="9" t="s">
        <v>18</v>
      </c>
    </row>
    <row r="16" spans="1:17" ht="52.8" x14ac:dyDescent="0.25">
      <c r="A16" s="12" t="s">
        <v>29</v>
      </c>
      <c r="B16" s="11" t="s">
        <v>222</v>
      </c>
      <c r="C16" s="11" t="s">
        <v>30</v>
      </c>
      <c r="D16" s="11">
        <f>D6</f>
        <v>1</v>
      </c>
      <c r="E16" s="12" t="s">
        <v>31</v>
      </c>
      <c r="F16" s="11">
        <v>12</v>
      </c>
      <c r="G16" s="13" t="s">
        <v>21</v>
      </c>
      <c r="H16" s="14">
        <f>H8*68.5%</f>
        <v>2740</v>
      </c>
      <c r="I16" s="15">
        <f>H16*F16*D16</f>
        <v>32880</v>
      </c>
      <c r="J16" s="2"/>
      <c r="K16" s="16"/>
      <c r="L16" s="17"/>
      <c r="M16" s="18"/>
      <c r="N16" s="19"/>
      <c r="O16" s="20"/>
      <c r="P16" s="19"/>
      <c r="Q16" s="21">
        <f>IFERROR(AVERAGE(L16,N16,P16),0)</f>
        <v>0</v>
      </c>
    </row>
    <row r="17" spans="1:17" ht="52.8" x14ac:dyDescent="0.25">
      <c r="A17" s="12" t="s">
        <v>32</v>
      </c>
      <c r="B17" s="11" t="s">
        <v>223</v>
      </c>
      <c r="C17" s="11" t="s">
        <v>30</v>
      </c>
      <c r="D17" s="11">
        <f>D10</f>
        <v>1</v>
      </c>
      <c r="E17" s="12" t="s">
        <v>31</v>
      </c>
      <c r="F17" s="11">
        <v>12</v>
      </c>
      <c r="G17" s="13" t="s">
        <v>21</v>
      </c>
      <c r="H17" s="14">
        <f t="shared" ref="H17:H19" si="2">H9*68.5%</f>
        <v>1712.5000000000002</v>
      </c>
      <c r="I17" s="15">
        <f>H17*F17*D17</f>
        <v>20550.000000000004</v>
      </c>
      <c r="J17" s="2"/>
      <c r="K17" s="16"/>
      <c r="L17" s="17"/>
      <c r="M17" s="18"/>
      <c r="N17" s="19"/>
      <c r="O17" s="20"/>
      <c r="P17" s="19"/>
      <c r="Q17" s="21">
        <f>IFERROR(AVERAGE(L17,N17,P17),0)</f>
        <v>0</v>
      </c>
    </row>
    <row r="18" spans="1:17" ht="55.2" customHeight="1" x14ac:dyDescent="0.25">
      <c r="A18" s="12" t="s">
        <v>33</v>
      </c>
      <c r="B18" s="11" t="s">
        <v>224</v>
      </c>
      <c r="C18" s="11" t="s">
        <v>30</v>
      </c>
      <c r="D18" s="11">
        <f>D11</f>
        <v>1</v>
      </c>
      <c r="E18" s="12" t="s">
        <v>31</v>
      </c>
      <c r="F18" s="11">
        <v>12</v>
      </c>
      <c r="G18" s="13" t="s">
        <v>21</v>
      </c>
      <c r="H18" s="14">
        <f t="shared" si="2"/>
        <v>5248.5453500000003</v>
      </c>
      <c r="I18" s="15">
        <f>H18*F18*D18</f>
        <v>62982.544200000004</v>
      </c>
      <c r="J18" s="2"/>
      <c r="K18" s="16"/>
      <c r="L18" s="17"/>
      <c r="M18" s="18"/>
      <c r="N18" s="19"/>
      <c r="O18" s="20"/>
      <c r="P18" s="19"/>
      <c r="Q18" s="21">
        <f>IFERROR(AVERAGE(L18,N18,P18),0)</f>
        <v>0</v>
      </c>
    </row>
    <row r="19" spans="1:17" ht="55.2" customHeight="1" x14ac:dyDescent="0.25">
      <c r="A19" s="12" t="s">
        <v>33</v>
      </c>
      <c r="B19" s="11" t="s">
        <v>225</v>
      </c>
      <c r="C19" s="11" t="s">
        <v>30</v>
      </c>
      <c r="D19" s="11">
        <v>1</v>
      </c>
      <c r="E19" s="12" t="s">
        <v>31</v>
      </c>
      <c r="F19" s="11">
        <v>12</v>
      </c>
      <c r="G19" s="13" t="s">
        <v>21</v>
      </c>
      <c r="H19" s="14">
        <f t="shared" si="2"/>
        <v>1712.5000000000002</v>
      </c>
      <c r="I19" s="15">
        <f>H19*F19*D19</f>
        <v>20550.000000000004</v>
      </c>
      <c r="J19" s="2"/>
      <c r="K19" s="89"/>
      <c r="L19" s="90"/>
      <c r="M19" s="91"/>
      <c r="N19" s="92"/>
      <c r="O19" s="93"/>
      <c r="P19" s="92"/>
      <c r="Q19" s="94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3" t="s">
        <v>1</v>
      </c>
      <c r="B21" s="74" t="s">
        <v>2</v>
      </c>
      <c r="C21" s="75"/>
      <c r="D21" s="4" t="s">
        <v>3</v>
      </c>
      <c r="E21" s="4" t="s">
        <v>4</v>
      </c>
      <c r="F21" s="74" t="s">
        <v>5</v>
      </c>
      <c r="G21" s="76"/>
      <c r="H21" s="75"/>
      <c r="I21" s="4" t="s">
        <v>6</v>
      </c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5">
        <v>3</v>
      </c>
      <c r="B22" s="70" t="s">
        <v>34</v>
      </c>
      <c r="C22" s="70"/>
      <c r="D22" s="71"/>
      <c r="E22" s="6" t="s">
        <v>8</v>
      </c>
      <c r="F22" s="69" t="s">
        <v>9</v>
      </c>
      <c r="G22" s="70"/>
      <c r="H22" s="71"/>
      <c r="I22" s="7">
        <f>SUM(I24:I30)</f>
        <v>112600</v>
      </c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5" t="s">
        <v>1</v>
      </c>
      <c r="B23" s="25" t="s">
        <v>10</v>
      </c>
      <c r="C23" s="25" t="s">
        <v>11</v>
      </c>
      <c r="D23" s="25" t="s">
        <v>3</v>
      </c>
      <c r="E23" s="25" t="s">
        <v>12</v>
      </c>
      <c r="F23" s="25" t="s">
        <v>4</v>
      </c>
      <c r="G23" s="25" t="s">
        <v>12</v>
      </c>
      <c r="H23" s="25" t="s">
        <v>13</v>
      </c>
      <c r="I23" s="25" t="s">
        <v>6</v>
      </c>
      <c r="J23" s="2"/>
      <c r="K23" s="9" t="s">
        <v>14</v>
      </c>
      <c r="L23" s="9" t="s">
        <v>15</v>
      </c>
      <c r="M23" s="9" t="s">
        <v>16</v>
      </c>
      <c r="N23" s="9" t="s">
        <v>15</v>
      </c>
      <c r="O23" s="9" t="s">
        <v>17</v>
      </c>
      <c r="P23" s="9" t="s">
        <v>15</v>
      </c>
      <c r="Q23" s="9" t="s">
        <v>18</v>
      </c>
    </row>
    <row r="24" spans="1:17" ht="52.8" x14ac:dyDescent="0.25">
      <c r="A24" s="12" t="s">
        <v>35</v>
      </c>
      <c r="B24" s="12" t="s">
        <v>226</v>
      </c>
      <c r="C24" s="26" t="s">
        <v>36</v>
      </c>
      <c r="D24" s="10">
        <f>220*2+40</f>
        <v>480</v>
      </c>
      <c r="E24" s="10" t="s">
        <v>12</v>
      </c>
      <c r="F24" s="10">
        <v>1</v>
      </c>
      <c r="G24" s="10" t="s">
        <v>37</v>
      </c>
      <c r="H24" s="14">
        <v>60</v>
      </c>
      <c r="I24" s="27">
        <f>D24*F24*H24</f>
        <v>28800</v>
      </c>
      <c r="J24" s="2"/>
      <c r="K24" s="28" t="s">
        <v>38</v>
      </c>
      <c r="L24" s="17">
        <v>85.49</v>
      </c>
      <c r="M24" s="28" t="s">
        <v>39</v>
      </c>
      <c r="N24" s="17">
        <v>59.9</v>
      </c>
      <c r="O24" s="28" t="s">
        <v>40</v>
      </c>
      <c r="P24" s="17">
        <v>49.9</v>
      </c>
      <c r="Q24" s="21">
        <f>IFERROR(AVERAGE(L24,N24,P24),0)</f>
        <v>65.096666666666664</v>
      </c>
    </row>
    <row r="25" spans="1:17" x14ac:dyDescent="0.25">
      <c r="A25" s="12" t="s">
        <v>41</v>
      </c>
      <c r="B25" s="12" t="s">
        <v>227</v>
      </c>
      <c r="C25" s="26"/>
      <c r="D25" s="10">
        <f>220*2+40</f>
        <v>480</v>
      </c>
      <c r="E25" s="10" t="s">
        <v>12</v>
      </c>
      <c r="F25" s="10">
        <v>1</v>
      </c>
      <c r="G25" s="10"/>
      <c r="H25" s="29">
        <v>50</v>
      </c>
      <c r="I25" s="27">
        <f t="shared" ref="I25:I27" si="3">D25*F25*H25</f>
        <v>24000</v>
      </c>
      <c r="J25" s="2"/>
      <c r="K25" s="28"/>
      <c r="L25" s="17"/>
      <c r="M25" s="28"/>
      <c r="N25" s="17"/>
      <c r="O25" s="28"/>
      <c r="P25" s="17"/>
      <c r="Q25" s="21"/>
    </row>
    <row r="26" spans="1:17" x14ac:dyDescent="0.25">
      <c r="A26" s="12" t="s">
        <v>47</v>
      </c>
      <c r="B26" s="12" t="s">
        <v>229</v>
      </c>
      <c r="C26" s="26"/>
      <c r="D26" s="10">
        <f>60+20</f>
        <v>80</v>
      </c>
      <c r="E26" s="10"/>
      <c r="F26" s="10">
        <v>1</v>
      </c>
      <c r="G26" s="10"/>
      <c r="H26" s="29">
        <v>40</v>
      </c>
      <c r="I26" s="27">
        <f t="shared" si="3"/>
        <v>3200</v>
      </c>
      <c r="J26" s="2"/>
      <c r="K26" s="28"/>
      <c r="L26" s="17"/>
      <c r="M26" s="28"/>
      <c r="N26" s="17"/>
      <c r="O26" s="28"/>
      <c r="P26" s="17"/>
      <c r="Q26" s="21"/>
    </row>
    <row r="27" spans="1:17" ht="118.8" x14ac:dyDescent="0.25">
      <c r="A27" s="12" t="s">
        <v>49</v>
      </c>
      <c r="B27" s="12" t="s">
        <v>42</v>
      </c>
      <c r="C27" s="26" t="s">
        <v>43</v>
      </c>
      <c r="D27" s="10">
        <v>180</v>
      </c>
      <c r="E27" s="10" t="s">
        <v>12</v>
      </c>
      <c r="F27" s="10">
        <v>1</v>
      </c>
      <c r="G27" s="10" t="s">
        <v>37</v>
      </c>
      <c r="H27" s="29">
        <v>70</v>
      </c>
      <c r="I27" s="27">
        <f t="shared" si="3"/>
        <v>12600</v>
      </c>
      <c r="J27" s="2"/>
      <c r="K27" s="28" t="s">
        <v>44</v>
      </c>
      <c r="L27" s="17">
        <v>79.8</v>
      </c>
      <c r="M27" s="28" t="s">
        <v>45</v>
      </c>
      <c r="N27" s="17">
        <v>91.9</v>
      </c>
      <c r="O27" s="28" t="s">
        <v>46</v>
      </c>
      <c r="P27" s="17">
        <v>123.41</v>
      </c>
      <c r="Q27" s="21">
        <f>IFERROR(AVERAGE(L27,N27,P27),0)</f>
        <v>98.37</v>
      </c>
    </row>
    <row r="28" spans="1:17" ht="79.2" x14ac:dyDescent="0.25">
      <c r="A28" s="12" t="s">
        <v>230</v>
      </c>
      <c r="B28" s="12" t="s">
        <v>228</v>
      </c>
      <c r="C28" s="26" t="s">
        <v>50</v>
      </c>
      <c r="D28" s="10">
        <v>20</v>
      </c>
      <c r="E28" s="10" t="s">
        <v>12</v>
      </c>
      <c r="F28" s="10">
        <v>1</v>
      </c>
      <c r="G28" s="10" t="s">
        <v>37</v>
      </c>
      <c r="H28" s="29">
        <v>40</v>
      </c>
      <c r="I28" s="27">
        <f>D28*F28*H28</f>
        <v>800</v>
      </c>
      <c r="J28" s="2"/>
      <c r="K28" s="28" t="s">
        <v>40</v>
      </c>
      <c r="L28" s="17">
        <v>69.900000000000006</v>
      </c>
      <c r="M28" s="28" t="s">
        <v>51</v>
      </c>
      <c r="N28" s="17">
        <v>39.99</v>
      </c>
      <c r="O28" s="28" t="s">
        <v>52</v>
      </c>
      <c r="P28" s="17">
        <v>67.489999999999995</v>
      </c>
      <c r="Q28" s="21">
        <f t="shared" ref="Q28" si="4">IFERROR(AVERAGE(L28,N28,P28),0)</f>
        <v>59.126666666666665</v>
      </c>
    </row>
    <row r="29" spans="1:17" x14ac:dyDescent="0.25">
      <c r="A29" s="12" t="s">
        <v>233</v>
      </c>
      <c r="B29" s="12" t="s">
        <v>231</v>
      </c>
      <c r="C29" s="26"/>
      <c r="D29" s="10">
        <f>90+30</f>
        <v>120</v>
      </c>
      <c r="E29" s="10"/>
      <c r="F29" s="10">
        <v>1</v>
      </c>
      <c r="G29" s="10"/>
      <c r="H29" s="29">
        <v>300</v>
      </c>
      <c r="I29" s="27">
        <f t="shared" ref="I29:I30" si="5">D29*F29*H29</f>
        <v>36000</v>
      </c>
    </row>
    <row r="30" spans="1:17" x14ac:dyDescent="0.25">
      <c r="A30" s="12" t="s">
        <v>234</v>
      </c>
      <c r="B30" s="12" t="s">
        <v>232</v>
      </c>
      <c r="C30" s="26"/>
      <c r="D30" s="10">
        <v>120</v>
      </c>
      <c r="E30" s="10"/>
      <c r="F30" s="10">
        <v>1</v>
      </c>
      <c r="G30" s="10"/>
      <c r="H30" s="29">
        <v>60</v>
      </c>
      <c r="I30" s="27">
        <f t="shared" si="5"/>
        <v>7200</v>
      </c>
      <c r="J30" s="2"/>
      <c r="K30" s="95"/>
      <c r="L30" s="90"/>
      <c r="M30" s="95"/>
      <c r="N30" s="90"/>
      <c r="O30" s="95"/>
      <c r="P30" s="90"/>
      <c r="Q30" s="94"/>
    </row>
    <row r="31" spans="1:17" x14ac:dyDescent="0.25">
      <c r="A31" s="30"/>
      <c r="B31" s="30"/>
      <c r="C31" s="30"/>
      <c r="D31" s="30"/>
      <c r="E31" s="30"/>
      <c r="F31" s="30"/>
      <c r="G31" s="30"/>
      <c r="H31" s="29"/>
      <c r="I31" s="31"/>
      <c r="J31" s="2"/>
      <c r="K31" s="32"/>
      <c r="L31" s="33"/>
      <c r="M31" s="2"/>
      <c r="N31" s="2"/>
      <c r="O31" s="2"/>
      <c r="P31" s="2"/>
      <c r="Q31" s="34"/>
    </row>
    <row r="32" spans="1:17" x14ac:dyDescent="0.25">
      <c r="A32" s="3" t="s">
        <v>1</v>
      </c>
      <c r="B32" s="74" t="s">
        <v>2</v>
      </c>
      <c r="C32" s="75"/>
      <c r="D32" s="4" t="s">
        <v>3</v>
      </c>
      <c r="E32" s="4" t="s">
        <v>4</v>
      </c>
      <c r="F32" s="74" t="s">
        <v>5</v>
      </c>
      <c r="G32" s="76"/>
      <c r="H32" s="75"/>
      <c r="I32" s="4" t="s">
        <v>6</v>
      </c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5">
        <v>4</v>
      </c>
      <c r="B33" s="70" t="s">
        <v>53</v>
      </c>
      <c r="C33" s="70"/>
      <c r="D33" s="71"/>
      <c r="E33" s="6" t="s">
        <v>8</v>
      </c>
      <c r="F33" s="69" t="s">
        <v>9</v>
      </c>
      <c r="G33" s="70"/>
      <c r="H33" s="71"/>
      <c r="I33" s="7">
        <f>SUM(I35:I40)</f>
        <v>21325</v>
      </c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5" t="s">
        <v>1</v>
      </c>
      <c r="B34" s="25" t="s">
        <v>10</v>
      </c>
      <c r="C34" s="25" t="s">
        <v>11</v>
      </c>
      <c r="D34" s="25" t="s">
        <v>3</v>
      </c>
      <c r="E34" s="25" t="s">
        <v>12</v>
      </c>
      <c r="F34" s="25" t="s">
        <v>4</v>
      </c>
      <c r="G34" s="25" t="s">
        <v>12</v>
      </c>
      <c r="H34" s="25" t="s">
        <v>13</v>
      </c>
      <c r="I34" s="25" t="s">
        <v>6</v>
      </c>
      <c r="J34" s="2"/>
      <c r="K34" s="9" t="s">
        <v>14</v>
      </c>
      <c r="L34" s="9" t="s">
        <v>15</v>
      </c>
      <c r="M34" s="9" t="s">
        <v>16</v>
      </c>
      <c r="N34" s="9" t="s">
        <v>15</v>
      </c>
      <c r="O34" s="9" t="s">
        <v>17</v>
      </c>
      <c r="P34" s="9" t="s">
        <v>15</v>
      </c>
      <c r="Q34" s="9" t="s">
        <v>18</v>
      </c>
    </row>
    <row r="35" spans="1:17" ht="52.8" x14ac:dyDescent="0.25">
      <c r="A35" s="12" t="s">
        <v>54</v>
      </c>
      <c r="B35" s="12" t="s">
        <v>55</v>
      </c>
      <c r="C35" s="10" t="s">
        <v>56</v>
      </c>
      <c r="D35" s="10">
        <v>50</v>
      </c>
      <c r="E35" s="10" t="s">
        <v>12</v>
      </c>
      <c r="F35" s="35">
        <v>1</v>
      </c>
      <c r="G35" s="10" t="s">
        <v>37</v>
      </c>
      <c r="H35" s="14">
        <v>70</v>
      </c>
      <c r="I35" s="27">
        <f t="shared" ref="I35:I40" si="6">H35*F35*D35</f>
        <v>3500</v>
      </c>
      <c r="J35" s="2"/>
      <c r="K35" s="28" t="s">
        <v>57</v>
      </c>
      <c r="L35" s="17">
        <v>98.1</v>
      </c>
      <c r="M35" s="28" t="s">
        <v>58</v>
      </c>
      <c r="N35" s="17">
        <v>72.11</v>
      </c>
      <c r="O35" s="28" t="s">
        <v>59</v>
      </c>
      <c r="P35" s="17">
        <v>68.599999999999994</v>
      </c>
      <c r="Q35" s="21">
        <f t="shared" ref="Q35:Q40" si="7">IFERROR(AVERAGE(L35,N35,P35),0)</f>
        <v>79.603333333333325</v>
      </c>
    </row>
    <row r="36" spans="1:17" ht="52.8" x14ac:dyDescent="0.25">
      <c r="A36" s="12" t="s">
        <v>60</v>
      </c>
      <c r="B36" s="12" t="s">
        <v>61</v>
      </c>
      <c r="C36" s="10" t="s">
        <v>56</v>
      </c>
      <c r="D36" s="10">
        <v>50</v>
      </c>
      <c r="E36" s="10" t="s">
        <v>12</v>
      </c>
      <c r="F36" s="35">
        <v>1</v>
      </c>
      <c r="G36" s="10" t="s">
        <v>37</v>
      </c>
      <c r="H36" s="14">
        <v>85</v>
      </c>
      <c r="I36" s="27">
        <f t="shared" si="6"/>
        <v>4250</v>
      </c>
      <c r="J36" s="2"/>
      <c r="K36" s="28" t="s">
        <v>51</v>
      </c>
      <c r="L36" s="17">
        <v>99.99</v>
      </c>
      <c r="M36" s="28" t="s">
        <v>62</v>
      </c>
      <c r="N36" s="17">
        <v>93.74</v>
      </c>
      <c r="O36" s="28" t="s">
        <v>59</v>
      </c>
      <c r="P36" s="17">
        <v>79.2</v>
      </c>
      <c r="Q36" s="21">
        <f t="shared" si="7"/>
        <v>90.976666666666674</v>
      </c>
    </row>
    <row r="37" spans="1:17" ht="52.8" x14ac:dyDescent="0.25">
      <c r="A37" s="12" t="s">
        <v>63</v>
      </c>
      <c r="B37" s="12" t="s">
        <v>64</v>
      </c>
      <c r="C37" s="10" t="s">
        <v>56</v>
      </c>
      <c r="D37" s="10">
        <v>50</v>
      </c>
      <c r="E37" s="10" t="s">
        <v>12</v>
      </c>
      <c r="F37" s="35">
        <v>1</v>
      </c>
      <c r="G37" s="10" t="s">
        <v>37</v>
      </c>
      <c r="H37" s="14">
        <v>40</v>
      </c>
      <c r="I37" s="27">
        <f t="shared" si="6"/>
        <v>2000</v>
      </c>
      <c r="J37" s="2"/>
      <c r="K37" s="28" t="s">
        <v>57</v>
      </c>
      <c r="L37" s="17">
        <v>49.5</v>
      </c>
      <c r="M37" s="28" t="s">
        <v>51</v>
      </c>
      <c r="N37" s="17">
        <v>69.989999999999995</v>
      </c>
      <c r="O37" s="28" t="s">
        <v>59</v>
      </c>
      <c r="P37" s="17">
        <v>33</v>
      </c>
      <c r="Q37" s="21">
        <f t="shared" si="7"/>
        <v>50.830000000000005</v>
      </c>
    </row>
    <row r="38" spans="1:17" ht="52.8" x14ac:dyDescent="0.25">
      <c r="A38" s="12" t="s">
        <v>65</v>
      </c>
      <c r="B38" s="12" t="s">
        <v>66</v>
      </c>
      <c r="C38" s="10" t="s">
        <v>56</v>
      </c>
      <c r="D38" s="10">
        <v>50</v>
      </c>
      <c r="E38" s="10" t="s">
        <v>12</v>
      </c>
      <c r="F38" s="35">
        <v>1</v>
      </c>
      <c r="G38" s="10" t="s">
        <v>67</v>
      </c>
      <c r="H38" s="14">
        <v>70</v>
      </c>
      <c r="I38" s="27">
        <f t="shared" si="6"/>
        <v>3500</v>
      </c>
      <c r="J38" s="2"/>
      <c r="K38" s="28" t="s">
        <v>68</v>
      </c>
      <c r="L38" s="17">
        <v>74.599999999999994</v>
      </c>
      <c r="M38" s="28" t="s">
        <v>69</v>
      </c>
      <c r="N38" s="17">
        <v>75.900000000000006</v>
      </c>
      <c r="O38" s="28" t="s">
        <v>62</v>
      </c>
      <c r="P38" s="17">
        <v>76.540000000000006</v>
      </c>
      <c r="Q38" s="21">
        <f t="shared" si="7"/>
        <v>75.680000000000007</v>
      </c>
    </row>
    <row r="39" spans="1:17" ht="52.8" x14ac:dyDescent="0.25">
      <c r="A39" s="12" t="s">
        <v>70</v>
      </c>
      <c r="B39" s="12" t="s">
        <v>71</v>
      </c>
      <c r="C39" s="10" t="s">
        <v>56</v>
      </c>
      <c r="D39" s="10">
        <v>50</v>
      </c>
      <c r="E39" s="10" t="s">
        <v>12</v>
      </c>
      <c r="F39" s="35">
        <v>1</v>
      </c>
      <c r="G39" s="10" t="s">
        <v>37</v>
      </c>
      <c r="H39" s="14">
        <v>60</v>
      </c>
      <c r="I39" s="27">
        <f t="shared" si="6"/>
        <v>3000</v>
      </c>
      <c r="J39" s="2"/>
      <c r="K39" s="28" t="s">
        <v>48</v>
      </c>
      <c r="L39" s="17">
        <v>109.19</v>
      </c>
      <c r="M39" s="28" t="s">
        <v>58</v>
      </c>
      <c r="N39" s="17">
        <v>61.66</v>
      </c>
      <c r="O39" s="28" t="s">
        <v>57</v>
      </c>
      <c r="P39" s="17">
        <v>64.8</v>
      </c>
      <c r="Q39" s="21">
        <f t="shared" si="7"/>
        <v>78.55</v>
      </c>
    </row>
    <row r="40" spans="1:17" ht="52.8" x14ac:dyDescent="0.25">
      <c r="A40" s="12" t="s">
        <v>72</v>
      </c>
      <c r="B40" s="12" t="s">
        <v>73</v>
      </c>
      <c r="C40" s="10" t="s">
        <v>56</v>
      </c>
      <c r="D40" s="10">
        <v>50</v>
      </c>
      <c r="E40" s="10" t="s">
        <v>12</v>
      </c>
      <c r="F40" s="35">
        <v>1</v>
      </c>
      <c r="G40" s="10" t="s">
        <v>37</v>
      </c>
      <c r="H40" s="14">
        <v>101.5</v>
      </c>
      <c r="I40" s="27">
        <f t="shared" si="6"/>
        <v>5075</v>
      </c>
      <c r="J40" s="2"/>
      <c r="K40" s="28" t="s">
        <v>74</v>
      </c>
      <c r="L40" s="17">
        <v>134.4</v>
      </c>
      <c r="M40" s="28" t="s">
        <v>59</v>
      </c>
      <c r="N40" s="17">
        <v>120</v>
      </c>
      <c r="O40" s="28" t="s">
        <v>75</v>
      </c>
      <c r="P40" s="17">
        <v>104.44</v>
      </c>
      <c r="Q40" s="21">
        <f t="shared" si="7"/>
        <v>119.61333333333334</v>
      </c>
    </row>
    <row r="41" spans="1:17" ht="39.6" x14ac:dyDescent="0.25">
      <c r="A41" s="88"/>
      <c r="B41" s="103" t="s">
        <v>235</v>
      </c>
      <c r="C41" s="103" t="s">
        <v>236</v>
      </c>
      <c r="D41" s="102">
        <v>10</v>
      </c>
      <c r="E41" s="102" t="s">
        <v>237</v>
      </c>
      <c r="F41" s="104">
        <v>1</v>
      </c>
      <c r="G41" s="100" t="s">
        <v>37</v>
      </c>
      <c r="H41" s="105">
        <v>50</v>
      </c>
      <c r="I41" s="101">
        <v>500</v>
      </c>
      <c r="J41" s="2"/>
      <c r="K41" s="95"/>
      <c r="L41" s="90"/>
      <c r="M41" s="95"/>
      <c r="N41" s="90"/>
      <c r="O41" s="95"/>
      <c r="P41" s="90"/>
      <c r="Q41" s="94"/>
    </row>
    <row r="42" spans="1:17" ht="39.6" x14ac:dyDescent="0.25">
      <c r="A42" s="88"/>
      <c r="B42" s="113" t="s">
        <v>238</v>
      </c>
      <c r="C42" s="113" t="s">
        <v>239</v>
      </c>
      <c r="D42" s="112">
        <v>30</v>
      </c>
      <c r="E42" s="112" t="s">
        <v>240</v>
      </c>
      <c r="F42" s="114">
        <v>1</v>
      </c>
      <c r="G42" s="110" t="s">
        <v>37</v>
      </c>
      <c r="H42" s="115">
        <v>14</v>
      </c>
      <c r="I42" s="111">
        <v>420</v>
      </c>
      <c r="J42" s="2"/>
      <c r="K42" s="95"/>
      <c r="L42" s="90"/>
      <c r="M42" s="95"/>
      <c r="N42" s="90"/>
      <c r="O42" s="95"/>
      <c r="P42" s="90"/>
      <c r="Q42" s="94"/>
    </row>
    <row r="43" spans="1:17" x14ac:dyDescent="0.25">
      <c r="A43" s="88"/>
      <c r="B43" s="95" t="s">
        <v>241</v>
      </c>
      <c r="C43" s="95"/>
      <c r="D43" s="96"/>
      <c r="E43" s="96"/>
      <c r="F43" s="98"/>
      <c r="G43" s="107"/>
      <c r="H43" s="108"/>
      <c r="I43" s="109"/>
      <c r="J43" s="2"/>
      <c r="K43" s="95"/>
      <c r="L43" s="90"/>
      <c r="M43" s="95"/>
      <c r="N43" s="90"/>
      <c r="O43" s="95"/>
      <c r="P43" s="90"/>
      <c r="Q43" s="94"/>
    </row>
    <row r="44" spans="1:17" ht="13.8" x14ac:dyDescent="0.25">
      <c r="A44" s="106" t="s">
        <v>1</v>
      </c>
      <c r="B44" s="116" t="s">
        <v>2</v>
      </c>
      <c r="C44" s="117"/>
      <c r="D44" s="106" t="s">
        <v>3</v>
      </c>
      <c r="E44" s="106" t="s">
        <v>4</v>
      </c>
      <c r="F44" s="116" t="s">
        <v>5</v>
      </c>
      <c r="G44" s="118"/>
      <c r="H44" s="117"/>
      <c r="I44" s="106" t="s">
        <v>6</v>
      </c>
      <c r="J44" s="2"/>
      <c r="K44" s="95"/>
      <c r="L44" s="90"/>
      <c r="M44" s="95"/>
      <c r="N44" s="90"/>
      <c r="O44" s="95"/>
      <c r="P44" s="90"/>
      <c r="Q44" s="94"/>
    </row>
    <row r="45" spans="1:17" ht="13.8" customHeight="1" x14ac:dyDescent="0.25">
      <c r="A45" s="119">
        <v>4</v>
      </c>
      <c r="B45" s="120" t="s">
        <v>247</v>
      </c>
      <c r="C45" s="121"/>
      <c r="D45" s="122"/>
      <c r="E45" s="119" t="s">
        <v>248</v>
      </c>
      <c r="F45" s="120" t="s">
        <v>9</v>
      </c>
      <c r="G45" s="121"/>
      <c r="H45" s="122"/>
      <c r="I45" s="123">
        <f>SUM(I47:I49)</f>
        <v>394200</v>
      </c>
      <c r="J45" s="2"/>
      <c r="K45" s="95"/>
      <c r="L45" s="90"/>
      <c r="M45" s="95"/>
      <c r="N45" s="90"/>
      <c r="O45" s="95"/>
      <c r="P45" s="90"/>
      <c r="Q45" s="94"/>
    </row>
    <row r="46" spans="1:17" ht="13.8" x14ac:dyDescent="0.25">
      <c r="A46" s="124" t="s">
        <v>1</v>
      </c>
      <c r="B46" s="124" t="s">
        <v>10</v>
      </c>
      <c r="C46" s="124" t="s">
        <v>11</v>
      </c>
      <c r="D46" s="124" t="s">
        <v>3</v>
      </c>
      <c r="E46" s="124" t="s">
        <v>12</v>
      </c>
      <c r="F46" s="124" t="s">
        <v>4</v>
      </c>
      <c r="G46" s="124" t="s">
        <v>12</v>
      </c>
      <c r="H46" s="124" t="s">
        <v>13</v>
      </c>
      <c r="I46" s="124" t="s">
        <v>6</v>
      </c>
      <c r="J46" s="2"/>
      <c r="K46" s="95"/>
      <c r="L46" s="90"/>
      <c r="M46" s="95"/>
      <c r="N46" s="90"/>
      <c r="O46" s="95"/>
      <c r="P46" s="90"/>
      <c r="Q46" s="94"/>
    </row>
    <row r="47" spans="1:17" ht="13.8" x14ac:dyDescent="0.25">
      <c r="A47" s="125" t="s">
        <v>54</v>
      </c>
      <c r="B47" s="137" t="s">
        <v>249</v>
      </c>
      <c r="C47" s="138"/>
      <c r="D47" s="139">
        <v>1</v>
      </c>
      <c r="E47" s="126" t="s">
        <v>149</v>
      </c>
      <c r="F47" s="140">
        <v>12</v>
      </c>
      <c r="G47" s="127" t="s">
        <v>250</v>
      </c>
      <c r="H47" s="128">
        <v>15000</v>
      </c>
      <c r="I47" s="142">
        <f t="shared" ref="I47:I49" si="8">D47*F47*H47</f>
        <v>180000</v>
      </c>
      <c r="J47" s="2"/>
      <c r="K47" s="95"/>
      <c r="L47" s="90"/>
      <c r="M47" s="95"/>
      <c r="N47" s="90"/>
      <c r="O47" s="95"/>
      <c r="P47" s="90"/>
      <c r="Q47" s="94"/>
    </row>
    <row r="48" spans="1:17" ht="13.8" x14ac:dyDescent="0.25">
      <c r="A48" s="125" t="s">
        <v>60</v>
      </c>
      <c r="B48" s="137" t="s">
        <v>251</v>
      </c>
      <c r="C48" s="138"/>
      <c r="D48" s="139">
        <f>220*2*4.5</f>
        <v>1980</v>
      </c>
      <c r="E48" s="126" t="s">
        <v>12</v>
      </c>
      <c r="F48" s="140">
        <v>12</v>
      </c>
      <c r="G48" s="127" t="s">
        <v>250</v>
      </c>
      <c r="H48" s="128">
        <v>7.5</v>
      </c>
      <c r="I48" s="142">
        <f t="shared" si="8"/>
        <v>178200</v>
      </c>
      <c r="J48" s="2"/>
      <c r="K48" s="2"/>
      <c r="L48" s="2"/>
      <c r="M48" s="2"/>
      <c r="N48" s="2"/>
      <c r="O48" s="2"/>
      <c r="P48" s="2"/>
      <c r="Q48" s="2"/>
    </row>
    <row r="49" spans="1:17" ht="41.4" x14ac:dyDescent="0.25">
      <c r="A49" s="125"/>
      <c r="B49" s="137" t="s">
        <v>252</v>
      </c>
      <c r="C49" s="138"/>
      <c r="D49" s="139">
        <v>10</v>
      </c>
      <c r="E49" s="126"/>
      <c r="F49" s="140">
        <v>12</v>
      </c>
      <c r="G49" s="127"/>
      <c r="H49" s="128">
        <v>300</v>
      </c>
      <c r="I49" s="142">
        <f t="shared" si="8"/>
        <v>36000</v>
      </c>
      <c r="J49" s="2"/>
      <c r="K49" s="2"/>
      <c r="L49" s="2"/>
      <c r="M49" s="2"/>
      <c r="N49" s="2"/>
      <c r="O49" s="2"/>
      <c r="P49" s="2"/>
      <c r="Q49" s="2"/>
    </row>
    <row r="50" spans="1:17" ht="13.8" x14ac:dyDescent="0.25">
      <c r="A50" s="133"/>
      <c r="B50" s="129"/>
      <c r="C50" s="131"/>
      <c r="D50" s="132"/>
      <c r="E50" s="134"/>
      <c r="F50" s="130"/>
      <c r="G50" s="135"/>
      <c r="H50" s="136"/>
      <c r="I50" s="141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3" t="s">
        <v>1</v>
      </c>
      <c r="B51" s="74" t="s">
        <v>2</v>
      </c>
      <c r="C51" s="75"/>
      <c r="D51" s="4" t="s">
        <v>3</v>
      </c>
      <c r="E51" s="4" t="s">
        <v>4</v>
      </c>
      <c r="F51" s="74" t="s">
        <v>5</v>
      </c>
      <c r="G51" s="76"/>
      <c r="H51" s="75"/>
      <c r="I51" s="4" t="s">
        <v>6</v>
      </c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5">
        <v>5</v>
      </c>
      <c r="B52" s="70" t="s">
        <v>76</v>
      </c>
      <c r="C52" s="70"/>
      <c r="D52" s="71"/>
      <c r="E52" s="6" t="s">
        <v>8</v>
      </c>
      <c r="F52" s="69" t="s">
        <v>9</v>
      </c>
      <c r="G52" s="70"/>
      <c r="H52" s="71"/>
      <c r="I52" s="7">
        <f>SUM(I54:I75)</f>
        <v>5000</v>
      </c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5" t="s">
        <v>1</v>
      </c>
      <c r="B53" s="25" t="s">
        <v>10</v>
      </c>
      <c r="C53" s="25" t="s">
        <v>11</v>
      </c>
      <c r="D53" s="25" t="s">
        <v>3</v>
      </c>
      <c r="E53" s="25" t="s">
        <v>12</v>
      </c>
      <c r="F53" s="25" t="s">
        <v>4</v>
      </c>
      <c r="G53" s="25" t="s">
        <v>12</v>
      </c>
      <c r="H53" s="25" t="s">
        <v>13</v>
      </c>
      <c r="I53" s="25" t="s">
        <v>6</v>
      </c>
      <c r="J53" s="2"/>
      <c r="K53" s="9" t="s">
        <v>14</v>
      </c>
      <c r="L53" s="9" t="s">
        <v>15</v>
      </c>
      <c r="M53" s="9" t="s">
        <v>16</v>
      </c>
      <c r="N53" s="9" t="s">
        <v>15</v>
      </c>
      <c r="O53" s="9" t="s">
        <v>17</v>
      </c>
      <c r="P53" s="9" t="s">
        <v>15</v>
      </c>
      <c r="Q53" s="9" t="s">
        <v>18</v>
      </c>
    </row>
    <row r="54" spans="1:17" ht="92.4" x14ac:dyDescent="0.25">
      <c r="A54" s="143" t="s">
        <v>77</v>
      </c>
      <c r="B54" s="143" t="s">
        <v>78</v>
      </c>
      <c r="C54" s="143" t="s">
        <v>79</v>
      </c>
      <c r="D54" s="144">
        <v>1</v>
      </c>
      <c r="E54" s="144" t="s">
        <v>12</v>
      </c>
      <c r="F54" s="144">
        <v>0</v>
      </c>
      <c r="G54" s="144" t="s">
        <v>37</v>
      </c>
      <c r="H54" s="145">
        <v>3950</v>
      </c>
      <c r="I54" s="146">
        <f t="shared" ref="I54:I75" si="9">H54*F54*D54</f>
        <v>0</v>
      </c>
      <c r="J54" s="2"/>
      <c r="K54" s="59" t="s">
        <v>80</v>
      </c>
      <c r="L54" s="60">
        <v>3988.78</v>
      </c>
      <c r="M54" s="59" t="s">
        <v>81</v>
      </c>
      <c r="N54" s="60">
        <v>3989.91</v>
      </c>
      <c r="O54" s="59" t="s">
        <v>82</v>
      </c>
      <c r="P54" s="60">
        <v>4850</v>
      </c>
      <c r="Q54" s="37">
        <f t="shared" ref="Q54:Q69" si="10">IFERROR(AVERAGE(L54,N54,P54),0)</f>
        <v>4276.2300000000005</v>
      </c>
    </row>
    <row r="55" spans="1:17" ht="66" x14ac:dyDescent="0.25">
      <c r="A55" s="143" t="s">
        <v>83</v>
      </c>
      <c r="B55" s="143" t="s">
        <v>84</v>
      </c>
      <c r="C55" s="143" t="s">
        <v>85</v>
      </c>
      <c r="D55" s="144">
        <v>25</v>
      </c>
      <c r="E55" s="144" t="s">
        <v>12</v>
      </c>
      <c r="F55" s="144">
        <v>0</v>
      </c>
      <c r="G55" s="144" t="s">
        <v>37</v>
      </c>
      <c r="H55" s="147">
        <v>710</v>
      </c>
      <c r="I55" s="146">
        <f t="shared" si="9"/>
        <v>0</v>
      </c>
      <c r="J55" s="2"/>
      <c r="K55" s="59" t="s">
        <v>86</v>
      </c>
      <c r="L55" s="60">
        <v>987</v>
      </c>
      <c r="M55" s="59" t="s">
        <v>87</v>
      </c>
      <c r="N55" s="60">
        <v>649.9</v>
      </c>
      <c r="O55" s="59" t="s">
        <v>88</v>
      </c>
      <c r="P55" s="60">
        <v>789.12</v>
      </c>
      <c r="Q55" s="37">
        <f t="shared" si="10"/>
        <v>808.67333333333329</v>
      </c>
    </row>
    <row r="56" spans="1:17" ht="66" x14ac:dyDescent="0.25">
      <c r="A56" s="143" t="s">
        <v>89</v>
      </c>
      <c r="B56" s="143" t="s">
        <v>90</v>
      </c>
      <c r="C56" s="143" t="s">
        <v>91</v>
      </c>
      <c r="D56" s="144">
        <v>10</v>
      </c>
      <c r="E56" s="144" t="s">
        <v>12</v>
      </c>
      <c r="F56" s="144">
        <v>0</v>
      </c>
      <c r="G56" s="144" t="s">
        <v>37</v>
      </c>
      <c r="H56" s="147">
        <v>2250</v>
      </c>
      <c r="I56" s="146">
        <f t="shared" si="9"/>
        <v>0</v>
      </c>
      <c r="J56" s="2"/>
      <c r="K56" s="59" t="s">
        <v>92</v>
      </c>
      <c r="L56" s="60">
        <v>8422.2199999999993</v>
      </c>
      <c r="M56" s="59" t="s">
        <v>93</v>
      </c>
      <c r="N56" s="60">
        <v>2599</v>
      </c>
      <c r="O56" s="59" t="s">
        <v>82</v>
      </c>
      <c r="P56" s="60">
        <v>5625</v>
      </c>
      <c r="Q56" s="37">
        <f t="shared" si="10"/>
        <v>5548.7400000000007</v>
      </c>
    </row>
    <row r="57" spans="1:17" ht="66" x14ac:dyDescent="0.25">
      <c r="A57" s="143" t="s">
        <v>94</v>
      </c>
      <c r="B57" s="143" t="s">
        <v>95</v>
      </c>
      <c r="C57" s="143" t="s">
        <v>96</v>
      </c>
      <c r="D57" s="144">
        <v>40</v>
      </c>
      <c r="E57" s="144" t="s">
        <v>12</v>
      </c>
      <c r="F57" s="144">
        <v>0</v>
      </c>
      <c r="G57" s="144" t="s">
        <v>37</v>
      </c>
      <c r="H57" s="145">
        <v>2490</v>
      </c>
      <c r="I57" s="146">
        <f t="shared" si="9"/>
        <v>0</v>
      </c>
      <c r="J57" s="2"/>
      <c r="K57" s="59" t="s">
        <v>81</v>
      </c>
      <c r="L57" s="60">
        <v>5881.36</v>
      </c>
      <c r="M57" s="59" t="s">
        <v>87</v>
      </c>
      <c r="N57" s="60">
        <v>3490</v>
      </c>
      <c r="O57" s="59" t="s">
        <v>86</v>
      </c>
      <c r="P57" s="60">
        <v>6292.25</v>
      </c>
      <c r="Q57" s="37">
        <f t="shared" si="10"/>
        <v>5221.2033333333338</v>
      </c>
    </row>
    <row r="58" spans="1:17" ht="66" x14ac:dyDescent="0.25">
      <c r="A58" s="143" t="s">
        <v>97</v>
      </c>
      <c r="B58" s="143" t="s">
        <v>98</v>
      </c>
      <c r="C58" s="143" t="s">
        <v>99</v>
      </c>
      <c r="D58" s="144">
        <v>10</v>
      </c>
      <c r="E58" s="144" t="s">
        <v>12</v>
      </c>
      <c r="F58" s="144">
        <v>0</v>
      </c>
      <c r="G58" s="144" t="s">
        <v>37</v>
      </c>
      <c r="H58" s="147">
        <v>5750</v>
      </c>
      <c r="I58" s="146">
        <f t="shared" si="9"/>
        <v>0</v>
      </c>
      <c r="J58" s="2"/>
      <c r="K58" s="59" t="s">
        <v>100</v>
      </c>
      <c r="L58" s="60">
        <v>7996.8</v>
      </c>
      <c r="M58" s="59" t="s">
        <v>101</v>
      </c>
      <c r="N58" s="60">
        <v>6315</v>
      </c>
      <c r="O58" s="59" t="s">
        <v>82</v>
      </c>
      <c r="P58" s="60">
        <v>5250</v>
      </c>
      <c r="Q58" s="37">
        <f t="shared" si="10"/>
        <v>6520.5999999999995</v>
      </c>
    </row>
    <row r="59" spans="1:17" ht="56.25" customHeight="1" x14ac:dyDescent="0.25">
      <c r="A59" s="143" t="s">
        <v>102</v>
      </c>
      <c r="B59" s="143" t="s">
        <v>103</v>
      </c>
      <c r="C59" s="143" t="s">
        <v>104</v>
      </c>
      <c r="D59" s="144">
        <v>5</v>
      </c>
      <c r="E59" s="144" t="s">
        <v>12</v>
      </c>
      <c r="F59" s="144">
        <v>0</v>
      </c>
      <c r="G59" s="144" t="s">
        <v>37</v>
      </c>
      <c r="H59" s="145">
        <v>3990</v>
      </c>
      <c r="I59" s="146">
        <f t="shared" si="9"/>
        <v>0</v>
      </c>
      <c r="J59" s="2"/>
      <c r="K59" s="67" t="s">
        <v>82</v>
      </c>
      <c r="L59" s="68">
        <v>8500</v>
      </c>
      <c r="M59" s="67" t="s">
        <v>81</v>
      </c>
      <c r="N59" s="68">
        <v>9490.41</v>
      </c>
      <c r="O59" s="67" t="s">
        <v>48</v>
      </c>
      <c r="P59" s="68">
        <v>1537.58</v>
      </c>
      <c r="Q59" s="37">
        <f t="shared" si="10"/>
        <v>6509.329999999999</v>
      </c>
    </row>
    <row r="60" spans="1:17" ht="66" x14ac:dyDescent="0.25">
      <c r="A60" s="143" t="s">
        <v>105</v>
      </c>
      <c r="B60" s="143" t="s">
        <v>106</v>
      </c>
      <c r="C60" s="143" t="s">
        <v>107</v>
      </c>
      <c r="D60" s="144">
        <v>5</v>
      </c>
      <c r="E60" s="144" t="s">
        <v>12</v>
      </c>
      <c r="F60" s="144">
        <v>0</v>
      </c>
      <c r="G60" s="144" t="s">
        <v>37</v>
      </c>
      <c r="H60" s="145">
        <v>7250</v>
      </c>
      <c r="I60" s="146">
        <f t="shared" si="9"/>
        <v>0</v>
      </c>
      <c r="J60" s="2"/>
      <c r="K60" s="59" t="s">
        <v>82</v>
      </c>
      <c r="L60" s="60">
        <v>24500</v>
      </c>
      <c r="M60" s="59" t="s">
        <v>101</v>
      </c>
      <c r="N60" s="60">
        <v>14700</v>
      </c>
      <c r="O60" s="59" t="s">
        <v>87</v>
      </c>
      <c r="P60" s="60">
        <v>8999.9</v>
      </c>
      <c r="Q60" s="37">
        <f t="shared" si="10"/>
        <v>16066.633333333333</v>
      </c>
    </row>
    <row r="61" spans="1:17" ht="79.2" x14ac:dyDescent="0.25">
      <c r="A61" s="143" t="s">
        <v>108</v>
      </c>
      <c r="B61" s="143" t="s">
        <v>109</v>
      </c>
      <c r="C61" s="143" t="s">
        <v>110</v>
      </c>
      <c r="D61" s="144">
        <v>5</v>
      </c>
      <c r="E61" s="144" t="s">
        <v>12</v>
      </c>
      <c r="F61" s="144">
        <v>0</v>
      </c>
      <c r="G61" s="144" t="s">
        <v>37</v>
      </c>
      <c r="H61" s="145">
        <v>4750</v>
      </c>
      <c r="I61" s="146">
        <f t="shared" si="9"/>
        <v>0</v>
      </c>
      <c r="J61" s="2"/>
      <c r="K61" s="59" t="s">
        <v>82</v>
      </c>
      <c r="L61" s="60">
        <v>5900</v>
      </c>
      <c r="M61" s="59" t="s">
        <v>81</v>
      </c>
      <c r="N61" s="60">
        <v>12341.36</v>
      </c>
      <c r="O61" s="59" t="s">
        <v>111</v>
      </c>
      <c r="P61" s="60">
        <v>5490.21</v>
      </c>
      <c r="Q61" s="37">
        <f t="shared" si="10"/>
        <v>7910.5233333333335</v>
      </c>
    </row>
    <row r="62" spans="1:17" ht="93.6" customHeight="1" x14ac:dyDescent="0.25">
      <c r="A62" s="143" t="s">
        <v>112</v>
      </c>
      <c r="B62" s="143" t="s">
        <v>113</v>
      </c>
      <c r="C62" s="143" t="s">
        <v>114</v>
      </c>
      <c r="D62" s="144">
        <v>5</v>
      </c>
      <c r="E62" s="144" t="s">
        <v>12</v>
      </c>
      <c r="F62" s="144">
        <v>0</v>
      </c>
      <c r="G62" s="144" t="s">
        <v>37</v>
      </c>
      <c r="H62" s="145">
        <v>6550</v>
      </c>
      <c r="I62" s="146">
        <f t="shared" si="9"/>
        <v>0</v>
      </c>
      <c r="J62" s="2"/>
      <c r="K62" s="59" t="s">
        <v>81</v>
      </c>
      <c r="L62" s="60">
        <v>19949.91</v>
      </c>
      <c r="M62" s="59" t="s">
        <v>87</v>
      </c>
      <c r="N62" s="60">
        <v>13799.9</v>
      </c>
      <c r="O62" s="59" t="s">
        <v>82</v>
      </c>
      <c r="P62" s="60">
        <v>7290</v>
      </c>
      <c r="Q62" s="37">
        <f t="shared" ref="Q62:Q68" si="11">IFERROR(AVERAGE(L62,N62,P62),0)</f>
        <v>13679.936666666666</v>
      </c>
    </row>
    <row r="63" spans="1:17" ht="145.19999999999999" x14ac:dyDescent="0.25">
      <c r="A63" s="143" t="s">
        <v>115</v>
      </c>
      <c r="B63" s="143" t="s">
        <v>116</v>
      </c>
      <c r="C63" s="143" t="s">
        <v>117</v>
      </c>
      <c r="D63" s="144">
        <v>5</v>
      </c>
      <c r="E63" s="144" t="s">
        <v>12</v>
      </c>
      <c r="F63" s="144">
        <v>0</v>
      </c>
      <c r="G63" s="144" t="s">
        <v>37</v>
      </c>
      <c r="H63" s="145">
        <v>27900</v>
      </c>
      <c r="I63" s="146">
        <f t="shared" si="9"/>
        <v>0</v>
      </c>
      <c r="J63" s="2"/>
      <c r="K63" s="59" t="s">
        <v>82</v>
      </c>
      <c r="L63" s="60">
        <v>43750</v>
      </c>
      <c r="M63" s="59" t="s">
        <v>101</v>
      </c>
      <c r="N63" s="60">
        <v>39055</v>
      </c>
      <c r="O63" s="59" t="s">
        <v>118</v>
      </c>
      <c r="P63" s="60">
        <v>35157.21</v>
      </c>
      <c r="Q63" s="37">
        <f t="shared" si="11"/>
        <v>39320.736666666664</v>
      </c>
    </row>
    <row r="64" spans="1:17" ht="64.95" customHeight="1" x14ac:dyDescent="0.25">
      <c r="A64" s="143" t="s">
        <v>119</v>
      </c>
      <c r="B64" s="143" t="s">
        <v>120</v>
      </c>
      <c r="C64" s="143" t="s">
        <v>121</v>
      </c>
      <c r="D64" s="144">
        <v>5</v>
      </c>
      <c r="E64" s="144" t="s">
        <v>12</v>
      </c>
      <c r="F64" s="144">
        <v>0</v>
      </c>
      <c r="G64" s="144" t="s">
        <v>37</v>
      </c>
      <c r="H64" s="145">
        <v>2350</v>
      </c>
      <c r="I64" s="146">
        <f t="shared" si="9"/>
        <v>0</v>
      </c>
      <c r="J64" s="2"/>
      <c r="K64" s="59" t="s">
        <v>82</v>
      </c>
      <c r="L64" s="60">
        <v>2750</v>
      </c>
      <c r="M64" s="59" t="s">
        <v>100</v>
      </c>
      <c r="N64" s="60">
        <v>2100</v>
      </c>
      <c r="O64" s="59" t="s">
        <v>101</v>
      </c>
      <c r="P64" s="60">
        <v>2300</v>
      </c>
      <c r="Q64" s="37">
        <f t="shared" si="11"/>
        <v>2383.3333333333335</v>
      </c>
    </row>
    <row r="65" spans="1:17" ht="66" x14ac:dyDescent="0.25">
      <c r="A65" s="143" t="s">
        <v>122</v>
      </c>
      <c r="B65" s="143" t="s">
        <v>123</v>
      </c>
      <c r="C65" s="143" t="s">
        <v>124</v>
      </c>
      <c r="D65" s="144">
        <v>5</v>
      </c>
      <c r="E65" s="144" t="s">
        <v>12</v>
      </c>
      <c r="F65" s="144">
        <v>0</v>
      </c>
      <c r="G65" s="144" t="s">
        <v>37</v>
      </c>
      <c r="H65" s="145">
        <v>2650</v>
      </c>
      <c r="I65" s="146">
        <f t="shared" si="9"/>
        <v>0</v>
      </c>
      <c r="J65" s="2"/>
      <c r="K65" s="59" t="s">
        <v>92</v>
      </c>
      <c r="L65" s="60">
        <v>2911.74</v>
      </c>
      <c r="M65" s="59" t="s">
        <v>81</v>
      </c>
      <c r="N65" s="60">
        <v>4265.5</v>
      </c>
      <c r="O65" s="59" t="s">
        <v>101</v>
      </c>
      <c r="P65" s="60">
        <v>2860</v>
      </c>
      <c r="Q65" s="37">
        <f t="shared" si="11"/>
        <v>3345.7466666666664</v>
      </c>
    </row>
    <row r="66" spans="1:17" ht="52.8" x14ac:dyDescent="0.25">
      <c r="A66" s="143" t="s">
        <v>125</v>
      </c>
      <c r="B66" s="143" t="s">
        <v>126</v>
      </c>
      <c r="C66" s="143" t="s">
        <v>127</v>
      </c>
      <c r="D66" s="144">
        <v>5</v>
      </c>
      <c r="E66" s="144" t="s">
        <v>12</v>
      </c>
      <c r="F66" s="144">
        <v>0</v>
      </c>
      <c r="G66" s="144" t="s">
        <v>37</v>
      </c>
      <c r="H66" s="145">
        <v>2590</v>
      </c>
      <c r="I66" s="146">
        <f t="shared" si="9"/>
        <v>0</v>
      </c>
      <c r="J66" s="2"/>
      <c r="K66" s="59" t="s">
        <v>81</v>
      </c>
      <c r="L66" s="60">
        <v>3126.36</v>
      </c>
      <c r="M66" s="59" t="s">
        <v>87</v>
      </c>
      <c r="N66" s="60">
        <v>2499.9</v>
      </c>
      <c r="O66" s="59" t="s">
        <v>101</v>
      </c>
      <c r="P66" s="61">
        <v>2600</v>
      </c>
      <c r="Q66" s="37">
        <f t="shared" si="11"/>
        <v>2742.0866666666666</v>
      </c>
    </row>
    <row r="67" spans="1:17" ht="52.8" x14ac:dyDescent="0.25">
      <c r="A67" s="143" t="s">
        <v>128</v>
      </c>
      <c r="B67" s="143" t="s">
        <v>129</v>
      </c>
      <c r="C67" s="143" t="s">
        <v>130</v>
      </c>
      <c r="D67" s="144">
        <v>5</v>
      </c>
      <c r="E67" s="144" t="s">
        <v>12</v>
      </c>
      <c r="F67" s="144">
        <v>0</v>
      </c>
      <c r="G67" s="144" t="s">
        <v>37</v>
      </c>
      <c r="H67" s="145">
        <v>140000</v>
      </c>
      <c r="I67" s="146">
        <f t="shared" si="9"/>
        <v>0</v>
      </c>
      <c r="J67" s="2"/>
      <c r="K67" s="28" t="s">
        <v>81</v>
      </c>
      <c r="L67" s="38">
        <v>474050.86</v>
      </c>
      <c r="M67" s="36" t="s">
        <v>101</v>
      </c>
      <c r="N67" s="63">
        <v>180000</v>
      </c>
      <c r="O67" s="39" t="s">
        <v>131</v>
      </c>
      <c r="P67" s="60">
        <v>381762.27</v>
      </c>
      <c r="Q67" s="37">
        <f t="shared" si="11"/>
        <v>345271.04333333333</v>
      </c>
    </row>
    <row r="68" spans="1:17" ht="96.75" customHeight="1" x14ac:dyDescent="0.25">
      <c r="A68" s="143" t="s">
        <v>132</v>
      </c>
      <c r="B68" s="143" t="s">
        <v>133</v>
      </c>
      <c r="C68" s="143" t="s">
        <v>134</v>
      </c>
      <c r="D68" s="144">
        <v>10</v>
      </c>
      <c r="E68" s="144" t="s">
        <v>12</v>
      </c>
      <c r="F68" s="144">
        <v>0</v>
      </c>
      <c r="G68" s="144" t="s">
        <v>37</v>
      </c>
      <c r="H68" s="145">
        <v>2250</v>
      </c>
      <c r="I68" s="146">
        <f t="shared" si="9"/>
        <v>0</v>
      </c>
      <c r="J68" s="2"/>
      <c r="K68" s="59" t="s">
        <v>82</v>
      </c>
      <c r="L68" s="60">
        <v>2500</v>
      </c>
      <c r="M68" s="59" t="s">
        <v>48</v>
      </c>
      <c r="N68" s="60">
        <v>2051.9899999999998</v>
      </c>
      <c r="O68" s="64" t="s">
        <v>81</v>
      </c>
      <c r="P68" s="62">
        <v>3799.91</v>
      </c>
      <c r="Q68" s="37">
        <f t="shared" si="11"/>
        <v>2783.9666666666667</v>
      </c>
    </row>
    <row r="69" spans="1:17" ht="79.2" x14ac:dyDescent="0.25">
      <c r="A69" s="143" t="s">
        <v>135</v>
      </c>
      <c r="B69" s="143" t="s">
        <v>136</v>
      </c>
      <c r="C69" s="143" t="s">
        <v>137</v>
      </c>
      <c r="D69" s="144">
        <v>5</v>
      </c>
      <c r="E69" s="144" t="s">
        <v>12</v>
      </c>
      <c r="F69" s="144">
        <v>0</v>
      </c>
      <c r="G69" s="144" t="s">
        <v>37</v>
      </c>
      <c r="H69" s="145">
        <v>28500</v>
      </c>
      <c r="I69" s="146">
        <f t="shared" si="9"/>
        <v>0</v>
      </c>
      <c r="J69" s="2"/>
      <c r="K69" s="59" t="s">
        <v>82</v>
      </c>
      <c r="L69" s="60">
        <v>22500</v>
      </c>
      <c r="M69" s="59" t="s">
        <v>81</v>
      </c>
      <c r="N69" s="60">
        <v>47499.91</v>
      </c>
      <c r="O69" s="59" t="s">
        <v>138</v>
      </c>
      <c r="P69" s="60">
        <v>35281.32</v>
      </c>
      <c r="Q69" s="37">
        <f t="shared" si="10"/>
        <v>35093.743333333339</v>
      </c>
    </row>
    <row r="70" spans="1:17" ht="92.4" x14ac:dyDescent="0.25">
      <c r="A70" s="143" t="s">
        <v>139</v>
      </c>
      <c r="B70" s="143" t="s">
        <v>140</v>
      </c>
      <c r="C70" s="143" t="s">
        <v>141</v>
      </c>
      <c r="D70" s="144">
        <v>5</v>
      </c>
      <c r="E70" s="144" t="s">
        <v>12</v>
      </c>
      <c r="F70" s="144">
        <v>0</v>
      </c>
      <c r="G70" s="144" t="s">
        <v>37</v>
      </c>
      <c r="H70" s="147">
        <v>3900</v>
      </c>
      <c r="I70" s="146">
        <f t="shared" si="9"/>
        <v>0</v>
      </c>
      <c r="J70" s="2"/>
      <c r="K70" s="59" t="s">
        <v>87</v>
      </c>
      <c r="L70" s="60">
        <v>2499.9</v>
      </c>
      <c r="M70" s="59" t="s">
        <v>101</v>
      </c>
      <c r="N70" s="60">
        <v>4990</v>
      </c>
      <c r="O70" s="59" t="s">
        <v>81</v>
      </c>
      <c r="P70" s="60">
        <v>8549.91</v>
      </c>
      <c r="Q70" s="37">
        <f>IFERROR(AVERAGE(L70,N70,P70),0)</f>
        <v>5346.6033333333335</v>
      </c>
    </row>
    <row r="71" spans="1:17" ht="79.2" x14ac:dyDescent="0.25">
      <c r="A71" s="143" t="s">
        <v>142</v>
      </c>
      <c r="B71" s="143" t="s">
        <v>143</v>
      </c>
      <c r="C71" s="143" t="s">
        <v>144</v>
      </c>
      <c r="D71" s="144">
        <v>5</v>
      </c>
      <c r="E71" s="144" t="s">
        <v>12</v>
      </c>
      <c r="F71" s="144">
        <v>0</v>
      </c>
      <c r="G71" s="144" t="s">
        <v>37</v>
      </c>
      <c r="H71" s="147">
        <v>3700</v>
      </c>
      <c r="I71" s="146">
        <f t="shared" si="9"/>
        <v>0</v>
      </c>
      <c r="J71" s="2"/>
      <c r="K71" s="59" t="s">
        <v>82</v>
      </c>
      <c r="L71" s="60">
        <v>3790</v>
      </c>
      <c r="M71" s="59" t="s">
        <v>101</v>
      </c>
      <c r="N71" s="60">
        <v>3690</v>
      </c>
      <c r="O71" s="59" t="s">
        <v>87</v>
      </c>
      <c r="P71" s="60">
        <v>6999.9</v>
      </c>
      <c r="Q71" s="37">
        <f>IFERROR(AVERAGE(L71,N71,P71),0)</f>
        <v>4826.6333333333332</v>
      </c>
    </row>
    <row r="72" spans="1:17" ht="14.4" x14ac:dyDescent="0.25">
      <c r="A72" s="148"/>
      <c r="B72" s="148" t="s">
        <v>242</v>
      </c>
      <c r="C72" s="148"/>
      <c r="D72" s="149"/>
      <c r="E72" s="149"/>
      <c r="F72" s="149"/>
      <c r="G72" s="149"/>
      <c r="H72" s="150"/>
      <c r="I72" s="146">
        <f t="shared" si="9"/>
        <v>0</v>
      </c>
      <c r="J72" s="2"/>
      <c r="K72" s="99"/>
      <c r="L72" s="97"/>
      <c r="M72" s="99"/>
      <c r="N72" s="97"/>
      <c r="O72" s="99"/>
      <c r="P72" s="97"/>
      <c r="Q72" s="94"/>
    </row>
    <row r="73" spans="1:17" ht="14.4" x14ac:dyDescent="0.25">
      <c r="A73" s="148"/>
      <c r="B73" s="148" t="s">
        <v>243</v>
      </c>
      <c r="C73" s="148"/>
      <c r="D73" s="149"/>
      <c r="E73" s="149"/>
      <c r="F73" s="149"/>
      <c r="G73" s="149"/>
      <c r="H73" s="150"/>
      <c r="I73" s="146">
        <f t="shared" si="9"/>
        <v>0</v>
      </c>
      <c r="J73" s="2"/>
      <c r="K73" s="99"/>
      <c r="L73" s="97"/>
      <c r="M73" s="99"/>
      <c r="N73" s="97"/>
      <c r="O73" s="99"/>
      <c r="P73" s="97"/>
      <c r="Q73" s="94"/>
    </row>
    <row r="74" spans="1:17" ht="14.4" x14ac:dyDescent="0.25">
      <c r="A74" s="148"/>
      <c r="B74" s="148" t="s">
        <v>244</v>
      </c>
      <c r="C74" s="148"/>
      <c r="D74" s="149"/>
      <c r="E74" s="149"/>
      <c r="F74" s="149"/>
      <c r="G74" s="149"/>
      <c r="H74" s="150"/>
      <c r="I74" s="146">
        <f t="shared" si="9"/>
        <v>0</v>
      </c>
      <c r="J74" s="2"/>
      <c r="K74" s="99"/>
      <c r="L74" s="97"/>
      <c r="M74" s="99"/>
      <c r="N74" s="97"/>
      <c r="O74" s="99"/>
      <c r="P74" s="97"/>
      <c r="Q74" s="94"/>
    </row>
    <row r="75" spans="1:17" ht="14.4" x14ac:dyDescent="0.25">
      <c r="A75" s="88"/>
      <c r="B75" s="88" t="s">
        <v>254</v>
      </c>
      <c r="C75" s="96"/>
      <c r="D75" s="95">
        <v>1</v>
      </c>
      <c r="E75" s="95"/>
      <c r="F75" s="95">
        <v>1</v>
      </c>
      <c r="G75" s="95"/>
      <c r="H75" s="90">
        <v>5000</v>
      </c>
      <c r="I75" s="146">
        <f t="shared" si="9"/>
        <v>5000</v>
      </c>
      <c r="J75" s="2"/>
      <c r="K75" s="99"/>
      <c r="L75" s="97"/>
      <c r="M75" s="99"/>
      <c r="N75" s="97"/>
      <c r="O75" s="99"/>
      <c r="P75" s="97"/>
      <c r="Q75" s="94"/>
    </row>
    <row r="76" spans="1:1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3" t="s">
        <v>1</v>
      </c>
      <c r="B77" s="74" t="s">
        <v>2</v>
      </c>
      <c r="C77" s="75"/>
      <c r="D77" s="4" t="s">
        <v>3</v>
      </c>
      <c r="E77" s="4" t="s">
        <v>4</v>
      </c>
      <c r="F77" s="74" t="s">
        <v>5</v>
      </c>
      <c r="G77" s="76"/>
      <c r="H77" s="75"/>
      <c r="I77" s="4" t="s">
        <v>6</v>
      </c>
      <c r="J77" s="2"/>
      <c r="K77" s="2"/>
      <c r="L77" s="2"/>
      <c r="M77" s="2"/>
      <c r="N77" s="2"/>
      <c r="O77" s="2"/>
      <c r="P77" s="2"/>
      <c r="Q77" s="2"/>
    </row>
    <row r="78" spans="1:17" x14ac:dyDescent="0.25">
      <c r="A78" s="5">
        <v>6</v>
      </c>
      <c r="B78" s="70" t="s">
        <v>145</v>
      </c>
      <c r="C78" s="70"/>
      <c r="D78" s="71"/>
      <c r="E78" s="6" t="s">
        <v>8</v>
      </c>
      <c r="F78" s="69" t="s">
        <v>9</v>
      </c>
      <c r="G78" s="70"/>
      <c r="H78" s="71"/>
      <c r="I78" s="7">
        <f>SUM(I80:I82)</f>
        <v>104400</v>
      </c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25" t="s">
        <v>1</v>
      </c>
      <c r="B79" s="25" t="s">
        <v>10</v>
      </c>
      <c r="C79" s="25" t="s">
        <v>11</v>
      </c>
      <c r="D79" s="25" t="s">
        <v>3</v>
      </c>
      <c r="E79" s="25" t="s">
        <v>12</v>
      </c>
      <c r="F79" s="25" t="s">
        <v>4</v>
      </c>
      <c r="G79" s="25" t="s">
        <v>12</v>
      </c>
      <c r="H79" s="25" t="s">
        <v>13</v>
      </c>
      <c r="I79" s="25" t="s">
        <v>6</v>
      </c>
      <c r="J79" s="2"/>
      <c r="K79" s="9" t="s">
        <v>14</v>
      </c>
      <c r="L79" s="9" t="s">
        <v>15</v>
      </c>
      <c r="M79" s="9" t="s">
        <v>16</v>
      </c>
      <c r="N79" s="9" t="s">
        <v>15</v>
      </c>
      <c r="O79" s="9" t="s">
        <v>17</v>
      </c>
      <c r="P79" s="9" t="s">
        <v>15</v>
      </c>
      <c r="Q79" s="9" t="s">
        <v>18</v>
      </c>
    </row>
    <row r="80" spans="1:17" ht="66" x14ac:dyDescent="0.25">
      <c r="A80" s="12" t="s">
        <v>146</v>
      </c>
      <c r="B80" s="12" t="s">
        <v>147</v>
      </c>
      <c r="C80" s="10" t="s">
        <v>148</v>
      </c>
      <c r="D80" s="10">
        <v>1</v>
      </c>
      <c r="E80" s="10" t="s">
        <v>149</v>
      </c>
      <c r="F80" s="35">
        <v>12</v>
      </c>
      <c r="G80" s="10" t="s">
        <v>150</v>
      </c>
      <c r="H80" s="14">
        <v>4000</v>
      </c>
      <c r="I80" s="27">
        <f>D80*F80*H80</f>
        <v>48000</v>
      </c>
      <c r="J80" s="2"/>
      <c r="K80" s="28" t="s">
        <v>151</v>
      </c>
      <c r="L80" s="17">
        <v>12949.67</v>
      </c>
      <c r="M80" s="28"/>
      <c r="N80" s="17"/>
      <c r="O80" s="28"/>
      <c r="P80" s="17"/>
      <c r="Q80" s="21">
        <f t="shared" ref="Q80:Q81" si="12">IFERROR(AVERAGE(L80,N80,P80),0)</f>
        <v>12949.67</v>
      </c>
    </row>
    <row r="81" spans="1:17" x14ac:dyDescent="0.25">
      <c r="A81" s="12" t="s">
        <v>152</v>
      </c>
      <c r="B81" s="12" t="s">
        <v>245</v>
      </c>
      <c r="C81" s="10"/>
      <c r="D81" s="10">
        <v>1</v>
      </c>
      <c r="E81" s="10" t="s">
        <v>149</v>
      </c>
      <c r="F81" s="35">
        <v>12</v>
      </c>
      <c r="G81" s="10" t="s">
        <v>21</v>
      </c>
      <c r="H81" s="14">
        <v>3000</v>
      </c>
      <c r="I81" s="27">
        <f t="shared" ref="I81" si="13">D81*F81*H81</f>
        <v>36000</v>
      </c>
      <c r="J81" s="2"/>
      <c r="K81" s="28" t="s">
        <v>151</v>
      </c>
      <c r="L81" s="17">
        <v>19294.93</v>
      </c>
      <c r="M81" s="28"/>
      <c r="N81" s="17"/>
      <c r="O81" s="28"/>
      <c r="P81" s="17"/>
      <c r="Q81" s="21">
        <f t="shared" si="12"/>
        <v>19294.93</v>
      </c>
    </row>
    <row r="82" spans="1:17" ht="26.4" x14ac:dyDescent="0.25">
      <c r="A82" s="12" t="s">
        <v>153</v>
      </c>
      <c r="B82" s="12" t="s">
        <v>246</v>
      </c>
      <c r="C82" s="10" t="s">
        <v>154</v>
      </c>
      <c r="D82" s="10">
        <v>1</v>
      </c>
      <c r="E82" s="10" t="s">
        <v>149</v>
      </c>
      <c r="F82" s="35">
        <v>12</v>
      </c>
      <c r="G82" s="10" t="s">
        <v>37</v>
      </c>
      <c r="H82" s="14">
        <v>1700</v>
      </c>
      <c r="I82" s="27">
        <f>D82*F82*H82</f>
        <v>20400</v>
      </c>
      <c r="J82" s="2"/>
      <c r="K82" s="28" t="s">
        <v>151</v>
      </c>
      <c r="L82" s="17">
        <v>5333.33</v>
      </c>
      <c r="M82" s="28"/>
      <c r="N82" s="17"/>
      <c r="O82" s="28"/>
      <c r="P82" s="17"/>
      <c r="Q82" s="21">
        <f>IFERROR(AVERAGE(L82,N82,P82),0)</f>
        <v>5333.33</v>
      </c>
    </row>
    <row r="83" spans="1:17" x14ac:dyDescent="0.25">
      <c r="A83" s="40"/>
      <c r="B83" s="41"/>
      <c r="C83" s="40"/>
      <c r="D83" s="40"/>
      <c r="E83" s="40"/>
      <c r="F83" s="40"/>
      <c r="G83" s="40"/>
      <c r="H83" s="42"/>
      <c r="I83" s="43"/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3" t="s">
        <v>1</v>
      </c>
      <c r="B84" s="74" t="s">
        <v>2</v>
      </c>
      <c r="C84" s="75"/>
      <c r="D84" s="4" t="s">
        <v>3</v>
      </c>
      <c r="E84" s="4" t="s">
        <v>4</v>
      </c>
      <c r="F84" s="74" t="s">
        <v>5</v>
      </c>
      <c r="G84" s="76"/>
      <c r="H84" s="75"/>
      <c r="I84" s="4" t="s">
        <v>6</v>
      </c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5">
        <v>7</v>
      </c>
      <c r="B85" s="70" t="s">
        <v>155</v>
      </c>
      <c r="C85" s="70"/>
      <c r="D85" s="71"/>
      <c r="E85" s="6" t="s">
        <v>8</v>
      </c>
      <c r="F85" s="69" t="s">
        <v>9</v>
      </c>
      <c r="G85" s="70"/>
      <c r="H85" s="71"/>
      <c r="I85" s="7">
        <f>SUM(I87:I87)</f>
        <v>1875</v>
      </c>
      <c r="J85" s="2"/>
      <c r="K85" s="2"/>
      <c r="L85" s="2"/>
      <c r="M85" s="2"/>
      <c r="N85" s="2"/>
      <c r="O85" s="2"/>
      <c r="P85" s="2"/>
      <c r="Q85" s="2"/>
    </row>
    <row r="86" spans="1:17" x14ac:dyDescent="0.25">
      <c r="A86" s="25" t="s">
        <v>1</v>
      </c>
      <c r="B86" s="25" t="s">
        <v>10</v>
      </c>
      <c r="C86" s="25" t="s">
        <v>11</v>
      </c>
      <c r="D86" s="25" t="s">
        <v>3</v>
      </c>
      <c r="E86" s="25" t="s">
        <v>12</v>
      </c>
      <c r="F86" s="25" t="s">
        <v>4</v>
      </c>
      <c r="G86" s="25" t="s">
        <v>12</v>
      </c>
      <c r="H86" s="25" t="s">
        <v>13</v>
      </c>
      <c r="I86" s="25" t="s">
        <v>6</v>
      </c>
      <c r="J86" s="2"/>
      <c r="K86" s="9" t="s">
        <v>14</v>
      </c>
      <c r="L86" s="9" t="s">
        <v>15</v>
      </c>
      <c r="M86" s="9" t="s">
        <v>16</v>
      </c>
      <c r="N86" s="9" t="s">
        <v>15</v>
      </c>
      <c r="O86" s="9" t="s">
        <v>17</v>
      </c>
      <c r="P86" s="9" t="s">
        <v>15</v>
      </c>
      <c r="Q86" s="9" t="s">
        <v>18</v>
      </c>
    </row>
    <row r="87" spans="1:17" ht="48" customHeight="1" x14ac:dyDescent="0.25">
      <c r="A87" s="12" t="s">
        <v>156</v>
      </c>
      <c r="B87" s="12" t="s">
        <v>157</v>
      </c>
      <c r="C87" s="10" t="s">
        <v>158</v>
      </c>
      <c r="D87" s="10">
        <f>220+30</f>
        <v>250</v>
      </c>
      <c r="E87" s="10" t="s">
        <v>12</v>
      </c>
      <c r="F87" s="35">
        <v>1</v>
      </c>
      <c r="G87" s="10" t="s">
        <v>37</v>
      </c>
      <c r="H87" s="14">
        <v>7.5</v>
      </c>
      <c r="I87" s="27">
        <f>D87*F87*H87</f>
        <v>1875</v>
      </c>
      <c r="J87" s="2"/>
      <c r="K87" s="28" t="s">
        <v>151</v>
      </c>
      <c r="L87" s="17">
        <v>60.17</v>
      </c>
      <c r="M87" s="28"/>
      <c r="N87" s="17"/>
      <c r="O87" s="28"/>
      <c r="P87" s="17"/>
      <c r="Q87" s="21">
        <f t="shared" ref="Q87" si="14">IFERROR(AVERAGE(L87,N87,P87),0)</f>
        <v>60.17</v>
      </c>
    </row>
    <row r="88" spans="1:17" x14ac:dyDescent="0.25">
      <c r="A88" s="30"/>
      <c r="B88" s="30"/>
      <c r="C88" s="30"/>
      <c r="D88" s="30"/>
      <c r="E88" s="30"/>
      <c r="F88" s="30"/>
      <c r="G88" s="30"/>
      <c r="H88" s="29"/>
      <c r="I88" s="31"/>
      <c r="J88" s="2"/>
      <c r="K88" s="32"/>
      <c r="L88" s="33"/>
      <c r="M88" s="2"/>
      <c r="N88" s="2"/>
      <c r="O88" s="2"/>
      <c r="P88" s="2"/>
      <c r="Q88" s="34"/>
    </row>
    <row r="89" spans="1:17" ht="14.4" customHeight="1" x14ac:dyDescent="0.25">
      <c r="A89" s="77" t="s">
        <v>159</v>
      </c>
      <c r="B89" s="78"/>
      <c r="C89" s="78"/>
      <c r="D89" s="78"/>
      <c r="E89" s="78"/>
      <c r="F89" s="78"/>
      <c r="G89" s="78"/>
      <c r="H89" s="78"/>
      <c r="I89" s="44">
        <f>SUM(I85,I78,I52,I33,I22,I14,I4,I45)</f>
        <v>1276307.8642</v>
      </c>
      <c r="J89" s="2"/>
      <c r="K89" s="2"/>
      <c r="L89" s="2"/>
      <c r="M89" s="2"/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79" t="s">
        <v>160</v>
      </c>
      <c r="B91" s="80"/>
      <c r="C91" s="80"/>
      <c r="D91" s="80"/>
      <c r="E91" s="80"/>
      <c r="F91" s="80"/>
      <c r="G91" s="80"/>
      <c r="H91" s="80"/>
      <c r="I91" s="81"/>
      <c r="J91" s="2"/>
      <c r="K91" s="2"/>
      <c r="L91" s="2"/>
      <c r="M91" s="2"/>
      <c r="N91" s="2"/>
      <c r="O91" s="2"/>
      <c r="P91" s="2"/>
      <c r="Q91" s="2"/>
    </row>
    <row r="92" spans="1:17" x14ac:dyDescent="0.25">
      <c r="A92" s="82"/>
      <c r="B92" s="83"/>
      <c r="C92" s="83"/>
      <c r="D92" s="83"/>
      <c r="E92" s="83"/>
      <c r="F92" s="83"/>
      <c r="G92" s="83"/>
      <c r="H92" s="83"/>
      <c r="I92" s="84"/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3" t="s">
        <v>1</v>
      </c>
      <c r="B93" s="74" t="s">
        <v>2</v>
      </c>
      <c r="C93" s="75"/>
      <c r="D93" s="4" t="s">
        <v>3</v>
      </c>
      <c r="E93" s="4" t="s">
        <v>4</v>
      </c>
      <c r="F93" s="74" t="s">
        <v>5</v>
      </c>
      <c r="G93" s="76"/>
      <c r="H93" s="75"/>
      <c r="I93" s="4" t="s">
        <v>6</v>
      </c>
      <c r="J93" s="2"/>
      <c r="K93" s="2"/>
      <c r="L93" s="2"/>
      <c r="M93" s="2"/>
      <c r="N93" s="2"/>
      <c r="O93" s="2"/>
      <c r="P93" s="2"/>
      <c r="Q93" s="2"/>
    </row>
    <row r="94" spans="1:17" x14ac:dyDescent="0.25">
      <c r="A94" s="5">
        <v>1</v>
      </c>
      <c r="B94" s="70" t="s">
        <v>161</v>
      </c>
      <c r="C94" s="70"/>
      <c r="D94" s="71"/>
      <c r="E94" s="6" t="s">
        <v>8</v>
      </c>
      <c r="F94" s="69" t="s">
        <v>9</v>
      </c>
      <c r="G94" s="70"/>
      <c r="H94" s="71"/>
      <c r="I94" s="45">
        <f>SUM(I96:I96)</f>
        <v>3500</v>
      </c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25" t="s">
        <v>1</v>
      </c>
      <c r="B95" s="25" t="s">
        <v>10</v>
      </c>
      <c r="C95" s="25" t="s">
        <v>11</v>
      </c>
      <c r="D95" s="25" t="s">
        <v>3</v>
      </c>
      <c r="E95" s="25" t="s">
        <v>12</v>
      </c>
      <c r="F95" s="25" t="s">
        <v>4</v>
      </c>
      <c r="G95" s="25" t="s">
        <v>12</v>
      </c>
      <c r="H95" s="25" t="s">
        <v>13</v>
      </c>
      <c r="I95" s="25" t="s">
        <v>6</v>
      </c>
      <c r="J95" s="2"/>
      <c r="K95" s="9" t="s">
        <v>14</v>
      </c>
      <c r="L95" s="9" t="s">
        <v>15</v>
      </c>
      <c r="M95" s="9" t="s">
        <v>16</v>
      </c>
      <c r="N95" s="9" t="s">
        <v>15</v>
      </c>
      <c r="O95" s="9" t="s">
        <v>17</v>
      </c>
      <c r="P95" s="9" t="s">
        <v>15</v>
      </c>
      <c r="Q95" s="9" t="s">
        <v>18</v>
      </c>
    </row>
    <row r="96" spans="1:17" ht="39.6" x14ac:dyDescent="0.25">
      <c r="A96" s="10" t="s">
        <v>19</v>
      </c>
      <c r="B96" s="10" t="s">
        <v>162</v>
      </c>
      <c r="C96" s="10" t="s">
        <v>163</v>
      </c>
      <c r="D96" s="10">
        <v>5</v>
      </c>
      <c r="E96" s="10" t="s">
        <v>12</v>
      </c>
      <c r="F96" s="10">
        <v>1</v>
      </c>
      <c r="G96" s="10" t="s">
        <v>37</v>
      </c>
      <c r="H96" s="15">
        <v>700</v>
      </c>
      <c r="I96" s="46">
        <f t="shared" ref="I96" si="15">H96*F96*D96</f>
        <v>3500</v>
      </c>
      <c r="J96" s="47"/>
      <c r="K96" s="28" t="s">
        <v>151</v>
      </c>
      <c r="L96" s="48">
        <v>1414.65</v>
      </c>
      <c r="M96" s="49"/>
      <c r="N96" s="50"/>
      <c r="O96" s="49"/>
      <c r="P96" s="50"/>
      <c r="Q96" s="21">
        <f t="shared" ref="Q96" si="16">IFERROR(AVERAGE(L96,N96,P96),0)</f>
        <v>1414.65</v>
      </c>
    </row>
    <row r="97" spans="1:17" x14ac:dyDescent="0.25">
      <c r="A97" s="30"/>
      <c r="B97" s="30"/>
      <c r="C97" s="30"/>
      <c r="D97" s="30"/>
      <c r="E97" s="30"/>
      <c r="F97" s="30"/>
      <c r="G97" s="30"/>
      <c r="H97" s="51"/>
      <c r="I97" s="52"/>
      <c r="J97" s="2"/>
      <c r="K97" s="32"/>
      <c r="L97" s="53"/>
      <c r="M97" s="2"/>
      <c r="N97" s="2"/>
      <c r="O97" s="2"/>
      <c r="P97" s="2"/>
      <c r="Q97" s="54"/>
    </row>
    <row r="98" spans="1:17" x14ac:dyDescent="0.25">
      <c r="A98" s="3" t="s">
        <v>1</v>
      </c>
      <c r="B98" s="74" t="s">
        <v>2</v>
      </c>
      <c r="C98" s="75"/>
      <c r="D98" s="4" t="s">
        <v>3</v>
      </c>
      <c r="E98" s="4" t="s">
        <v>4</v>
      </c>
      <c r="F98" s="74" t="s">
        <v>5</v>
      </c>
      <c r="G98" s="76"/>
      <c r="H98" s="75"/>
      <c r="I98" s="4" t="s">
        <v>6</v>
      </c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5">
        <v>2</v>
      </c>
      <c r="B99" s="70" t="s">
        <v>164</v>
      </c>
      <c r="C99" s="70"/>
      <c r="D99" s="71"/>
      <c r="E99" s="6" t="s">
        <v>8</v>
      </c>
      <c r="F99" s="69" t="s">
        <v>9</v>
      </c>
      <c r="G99" s="70"/>
      <c r="H99" s="71"/>
      <c r="I99" s="45">
        <f>SUM(I101:I102)</f>
        <v>120000</v>
      </c>
      <c r="J99" s="2"/>
      <c r="K99" s="2"/>
      <c r="L99" s="2"/>
      <c r="M99" s="2"/>
      <c r="N99" s="2"/>
      <c r="O99" s="2"/>
      <c r="P99" s="2"/>
      <c r="Q99" s="2"/>
    </row>
    <row r="100" spans="1:17" x14ac:dyDescent="0.25">
      <c r="A100" s="25" t="s">
        <v>1</v>
      </c>
      <c r="B100" s="25" t="s">
        <v>10</v>
      </c>
      <c r="C100" s="25" t="s">
        <v>11</v>
      </c>
      <c r="D100" s="25" t="s">
        <v>3</v>
      </c>
      <c r="E100" s="25" t="s">
        <v>12</v>
      </c>
      <c r="F100" s="25" t="s">
        <v>4</v>
      </c>
      <c r="G100" s="25" t="s">
        <v>12</v>
      </c>
      <c r="H100" s="25" t="s">
        <v>13</v>
      </c>
      <c r="I100" s="25" t="s">
        <v>6</v>
      </c>
      <c r="J100" s="2"/>
      <c r="K100" s="9" t="s">
        <v>14</v>
      </c>
      <c r="L100" s="9" t="s">
        <v>15</v>
      </c>
      <c r="M100" s="9" t="s">
        <v>16</v>
      </c>
      <c r="N100" s="9" t="s">
        <v>15</v>
      </c>
      <c r="O100" s="9" t="s">
        <v>17</v>
      </c>
      <c r="P100" s="9" t="s">
        <v>15</v>
      </c>
      <c r="Q100" s="9" t="s">
        <v>18</v>
      </c>
    </row>
    <row r="101" spans="1:17" ht="66" x14ac:dyDescent="0.25">
      <c r="A101" s="10" t="s">
        <v>29</v>
      </c>
      <c r="B101" s="10" t="s">
        <v>165</v>
      </c>
      <c r="C101" s="10" t="s">
        <v>166</v>
      </c>
      <c r="D101" s="10">
        <v>1</v>
      </c>
      <c r="E101" s="10" t="s">
        <v>149</v>
      </c>
      <c r="F101" s="10">
        <v>12</v>
      </c>
      <c r="G101" s="10" t="s">
        <v>150</v>
      </c>
      <c r="H101" s="15">
        <v>5000</v>
      </c>
      <c r="I101" s="46">
        <f t="shared" ref="I101:I102" si="17">H101*F101*D101</f>
        <v>60000</v>
      </c>
      <c r="J101" s="47"/>
      <c r="K101" s="28" t="s">
        <v>151</v>
      </c>
      <c r="L101" s="48">
        <v>17699</v>
      </c>
      <c r="M101" s="39"/>
      <c r="N101" s="19"/>
      <c r="O101" s="39"/>
      <c r="P101" s="19"/>
      <c r="Q101" s="21">
        <f t="shared" ref="Q101" si="18">IFERROR(AVERAGE(L101,N101,P101),0)</f>
        <v>17699</v>
      </c>
    </row>
    <row r="102" spans="1:17" x14ac:dyDescent="0.25">
      <c r="A102" s="30"/>
      <c r="B102" s="30" t="s">
        <v>253</v>
      </c>
      <c r="C102" s="30"/>
      <c r="D102" s="30">
        <v>1</v>
      </c>
      <c r="E102" s="30"/>
      <c r="F102" s="30">
        <v>12</v>
      </c>
      <c r="G102" s="30"/>
      <c r="H102" s="51">
        <v>5000</v>
      </c>
      <c r="I102" s="46">
        <f t="shared" si="17"/>
        <v>60000</v>
      </c>
      <c r="J102" s="2"/>
      <c r="K102" s="32"/>
      <c r="L102" s="53"/>
      <c r="M102" s="2"/>
      <c r="N102" s="2"/>
      <c r="O102" s="2"/>
      <c r="P102" s="2"/>
      <c r="Q102" s="54"/>
    </row>
    <row r="103" spans="1:17" x14ac:dyDescent="0.25">
      <c r="A103" s="30"/>
      <c r="B103" s="30"/>
      <c r="C103" s="30"/>
      <c r="D103" s="30"/>
      <c r="E103" s="30"/>
      <c r="F103" s="30"/>
      <c r="G103" s="30"/>
      <c r="H103" s="51"/>
      <c r="I103" s="52"/>
      <c r="J103" s="2"/>
      <c r="K103" s="32"/>
      <c r="L103" s="53"/>
      <c r="M103" s="2"/>
      <c r="N103" s="2"/>
      <c r="O103" s="2"/>
      <c r="P103" s="2"/>
      <c r="Q103" s="54"/>
    </row>
    <row r="104" spans="1:17" x14ac:dyDescent="0.25">
      <c r="A104" s="77" t="s">
        <v>167</v>
      </c>
      <c r="B104" s="78"/>
      <c r="C104" s="78"/>
      <c r="D104" s="78"/>
      <c r="E104" s="78"/>
      <c r="F104" s="78"/>
      <c r="G104" s="78"/>
      <c r="H104" s="78"/>
      <c r="I104" s="65">
        <f>SUM(I94,I99)</f>
        <v>123500</v>
      </c>
      <c r="J104" s="55">
        <f>I104/I89</f>
        <v>9.6763487450115176E-2</v>
      </c>
      <c r="K104" s="2"/>
      <c r="L104" s="2"/>
      <c r="M104" s="2"/>
      <c r="N104" s="2"/>
      <c r="O104" s="2"/>
      <c r="P104" s="2"/>
      <c r="Q104" s="2"/>
    </row>
    <row r="105" spans="1:17" x14ac:dyDescent="0.25">
      <c r="A105" s="72" t="s">
        <v>168</v>
      </c>
      <c r="B105" s="73"/>
      <c r="C105" s="73"/>
      <c r="D105" s="73"/>
      <c r="E105" s="73"/>
      <c r="F105" s="73"/>
      <c r="G105" s="73"/>
      <c r="H105" s="73"/>
      <c r="I105" s="66">
        <f>I104+I89</f>
        <v>1399807.8642</v>
      </c>
      <c r="J105" s="2"/>
      <c r="K105" s="2"/>
      <c r="L105" s="2"/>
      <c r="M105" s="2"/>
      <c r="N105" s="2"/>
      <c r="O105" s="2"/>
      <c r="P105" s="2"/>
      <c r="Q105" s="2"/>
    </row>
    <row r="106" spans="1:17" x14ac:dyDescent="0.25">
      <c r="A106" s="72" t="s">
        <v>169</v>
      </c>
      <c r="B106" s="73"/>
      <c r="C106" s="73"/>
      <c r="D106" s="73"/>
      <c r="E106" s="73"/>
      <c r="F106" s="73"/>
      <c r="G106" s="73"/>
      <c r="H106" s="73"/>
      <c r="I106" s="66">
        <f>IF((I105*10%)&gt;100000,100000,(I105*10%))</f>
        <v>100000</v>
      </c>
      <c r="J106" s="55">
        <f>I106/I105</f>
        <v>7.1438375621036179E-2</v>
      </c>
      <c r="K106" s="56"/>
      <c r="L106" s="2"/>
      <c r="M106" s="2"/>
      <c r="N106" s="2"/>
      <c r="O106" s="2"/>
      <c r="P106" s="2"/>
      <c r="Q106" s="2"/>
    </row>
    <row r="107" spans="1:17" x14ac:dyDescent="0.25">
      <c r="A107" s="72" t="s">
        <v>170</v>
      </c>
      <c r="B107" s="73"/>
      <c r="C107" s="73"/>
      <c r="D107" s="73"/>
      <c r="E107" s="73"/>
      <c r="F107" s="73"/>
      <c r="G107" s="73"/>
      <c r="H107" s="73"/>
      <c r="I107" s="66">
        <f>I105+I106</f>
        <v>1499807.8642</v>
      </c>
      <c r="J107" s="2"/>
      <c r="K107" s="2"/>
      <c r="L107" s="2"/>
      <c r="M107" s="2"/>
      <c r="N107" s="2"/>
      <c r="O107" s="2"/>
      <c r="P107" s="2"/>
      <c r="Q107" s="2"/>
    </row>
    <row r="108" spans="1:1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5">
      <c r="A110" s="2"/>
      <c r="B110" s="2"/>
      <c r="C110" s="2"/>
      <c r="D110" s="2"/>
      <c r="E110" s="2"/>
      <c r="F110" s="2"/>
      <c r="G110" s="2"/>
      <c r="H110" s="2"/>
      <c r="I110" s="57"/>
      <c r="J110" s="2"/>
      <c r="K110" s="2"/>
      <c r="L110" s="2"/>
      <c r="M110" s="2"/>
      <c r="N110" s="2"/>
      <c r="O110" s="2"/>
      <c r="P110" s="2"/>
      <c r="Q110" s="2"/>
    </row>
  </sheetData>
  <sortState xmlns:xlrd2="http://schemas.microsoft.com/office/spreadsheetml/2017/richdata2" ref="A54:I69">
    <sortCondition ref="B54:B69"/>
  </sortState>
  <mergeCells count="47">
    <mergeCell ref="B13:C13"/>
    <mergeCell ref="F13:H13"/>
    <mergeCell ref="B14:D14"/>
    <mergeCell ref="F14:H14"/>
    <mergeCell ref="F51:H51"/>
    <mergeCell ref="B21:C21"/>
    <mergeCell ref="F21:H21"/>
    <mergeCell ref="B22:D22"/>
    <mergeCell ref="F22:H22"/>
    <mergeCell ref="B32:C32"/>
    <mergeCell ref="F32:H32"/>
    <mergeCell ref="B44:C44"/>
    <mergeCell ref="F44:H44"/>
    <mergeCell ref="B45:D45"/>
    <mergeCell ref="F45:H45"/>
    <mergeCell ref="A1:I2"/>
    <mergeCell ref="F3:H3"/>
    <mergeCell ref="F4:H4"/>
    <mergeCell ref="B4:D4"/>
    <mergeCell ref="B3:C3"/>
    <mergeCell ref="A107:H107"/>
    <mergeCell ref="A104:H104"/>
    <mergeCell ref="B84:C84"/>
    <mergeCell ref="F84:H84"/>
    <mergeCell ref="B85:D85"/>
    <mergeCell ref="F85:H85"/>
    <mergeCell ref="A105:H105"/>
    <mergeCell ref="B94:D94"/>
    <mergeCell ref="F94:H94"/>
    <mergeCell ref="B98:C98"/>
    <mergeCell ref="F98:H98"/>
    <mergeCell ref="B99:D99"/>
    <mergeCell ref="A89:H89"/>
    <mergeCell ref="A91:I92"/>
    <mergeCell ref="F99:H99"/>
    <mergeCell ref="F78:H78"/>
    <mergeCell ref="A106:H106"/>
    <mergeCell ref="B33:D33"/>
    <mergeCell ref="F33:H33"/>
    <mergeCell ref="F52:H52"/>
    <mergeCell ref="B77:C77"/>
    <mergeCell ref="F77:H77"/>
    <mergeCell ref="B78:D78"/>
    <mergeCell ref="B52:D52"/>
    <mergeCell ref="B51:C51"/>
    <mergeCell ref="B93:C93"/>
    <mergeCell ref="F93:H93"/>
  </mergeCells>
  <phoneticPr fontId="2" type="noConversion"/>
  <conditionalFormatting sqref="J104">
    <cfRule type="cellIs" dxfId="8" priority="7" operator="equal">
      <formula>0.15</formula>
    </cfRule>
    <cfRule type="cellIs" dxfId="7" priority="8" operator="lessThan">
      <formula>0.15</formula>
    </cfRule>
    <cfRule type="cellIs" dxfId="6" priority="9" operator="greaterThan">
      <formula>0.15</formula>
    </cfRule>
  </conditionalFormatting>
  <conditionalFormatting sqref="J106">
    <cfRule type="cellIs" dxfId="5" priority="1" operator="equal">
      <formula>0.07</formula>
    </cfRule>
    <cfRule type="cellIs" dxfId="4" priority="2" operator="lessThan">
      <formula>0.07</formula>
    </cfRule>
    <cfRule type="cellIs" dxfId="3" priority="4" operator="equal">
      <formula>0.15</formula>
    </cfRule>
    <cfRule type="cellIs" dxfId="2" priority="5" operator="lessThan">
      <formula>0.15</formula>
    </cfRule>
    <cfRule type="cellIs" dxfId="1" priority="6" operator="greaterThan">
      <formula>0.15</formula>
    </cfRule>
  </conditionalFormatting>
  <conditionalFormatting sqref="L108">
    <cfRule type="cellIs" dxfId="0" priority="3" operator="greaterThan">
      <formula>0.07</formula>
    </cfRule>
  </conditionalFormatting>
  <pageMargins left="0.511811024" right="0.511811024" top="0.78740157499999996" bottom="0.78740157499999996" header="0.31496062000000002" footer="0.31496062000000002"/>
  <pageSetup paperSize="9" scale="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6112-5079-4AB3-B50C-988E32C8B52A}">
  <dimension ref="B3:S20"/>
  <sheetViews>
    <sheetView workbookViewId="0">
      <selection activeCell="M5" sqref="M5"/>
    </sheetView>
  </sheetViews>
  <sheetFormatPr defaultRowHeight="14.4" x14ac:dyDescent="0.3"/>
  <cols>
    <col min="1" max="1" width="8.88671875" style="85"/>
    <col min="2" max="2" width="12.109375" style="85" bestFit="1" customWidth="1"/>
    <col min="3" max="3" width="10.33203125" style="85" bestFit="1" customWidth="1"/>
    <col min="4" max="4" width="24.33203125" style="85" bestFit="1" customWidth="1"/>
    <col min="5" max="5" width="10.33203125" style="85" bestFit="1" customWidth="1"/>
    <col min="6" max="6" width="14.44140625" style="85" bestFit="1" customWidth="1"/>
    <col min="7" max="7" width="9.109375" style="85" customWidth="1"/>
    <col min="8" max="16384" width="8.88671875" style="85"/>
  </cols>
  <sheetData>
    <row r="3" spans="2:19" x14ac:dyDescent="0.3">
      <c r="O3" s="85" t="s">
        <v>212</v>
      </c>
      <c r="R3" s="85">
        <v>8000</v>
      </c>
    </row>
    <row r="4" spans="2:19" x14ac:dyDescent="0.3">
      <c r="B4" s="86"/>
      <c r="C4" s="86"/>
      <c r="D4" s="86"/>
      <c r="E4" s="86"/>
      <c r="F4" s="86"/>
      <c r="G4" s="86"/>
      <c r="O4" s="85" t="s">
        <v>213</v>
      </c>
      <c r="R4" s="85">
        <v>5000</v>
      </c>
    </row>
    <row r="5" spans="2:19" x14ac:dyDescent="0.3">
      <c r="B5" s="87"/>
      <c r="C5" s="87" t="s">
        <v>171</v>
      </c>
      <c r="D5" s="87" t="s">
        <v>172</v>
      </c>
      <c r="E5" s="87" t="s">
        <v>173</v>
      </c>
      <c r="F5" s="87" t="s">
        <v>174</v>
      </c>
      <c r="G5" s="87" t="s">
        <v>175</v>
      </c>
      <c r="I5" s="85" t="s">
        <v>191</v>
      </c>
      <c r="K5" s="85">
        <v>6</v>
      </c>
      <c r="L5" s="85">
        <v>15</v>
      </c>
      <c r="M5" s="85">
        <f>K5*L5</f>
        <v>90</v>
      </c>
      <c r="O5" s="85" t="s">
        <v>210</v>
      </c>
      <c r="P5" s="85" t="s">
        <v>211</v>
      </c>
      <c r="R5" s="85">
        <v>4000</v>
      </c>
      <c r="S5" s="85">
        <v>2000</v>
      </c>
    </row>
    <row r="6" spans="2:19" x14ac:dyDescent="0.3">
      <c r="B6" s="87" t="s">
        <v>176</v>
      </c>
      <c r="C6" s="87"/>
      <c r="D6" s="87"/>
      <c r="E6" s="87"/>
      <c r="F6" s="87"/>
      <c r="G6" s="87"/>
      <c r="I6" s="85" t="s">
        <v>192</v>
      </c>
      <c r="K6" s="85">
        <v>4</v>
      </c>
      <c r="L6" s="85">
        <v>10</v>
      </c>
      <c r="M6" s="85">
        <f>K6*L6</f>
        <v>40</v>
      </c>
      <c r="O6" s="85" t="s">
        <v>210</v>
      </c>
      <c r="P6" s="85" t="s">
        <v>211</v>
      </c>
    </row>
    <row r="7" spans="2:19" x14ac:dyDescent="0.3">
      <c r="B7" s="87" t="s">
        <v>177</v>
      </c>
      <c r="C7" s="87"/>
      <c r="D7" s="87"/>
      <c r="E7" s="87"/>
      <c r="F7" s="87"/>
      <c r="G7" s="87"/>
      <c r="I7" s="85" t="s">
        <v>193</v>
      </c>
      <c r="K7" s="85">
        <v>6</v>
      </c>
      <c r="L7" s="85">
        <v>15</v>
      </c>
      <c r="M7" s="85">
        <f>K7*L7</f>
        <v>90</v>
      </c>
      <c r="O7" s="85" t="s">
        <v>210</v>
      </c>
      <c r="P7" s="85" t="s">
        <v>211</v>
      </c>
    </row>
    <row r="8" spans="2:19" x14ac:dyDescent="0.3">
      <c r="B8" s="87" t="s">
        <v>178</v>
      </c>
      <c r="C8" s="87"/>
      <c r="D8" s="87"/>
      <c r="E8" s="87"/>
      <c r="F8" s="87"/>
      <c r="G8" s="87"/>
      <c r="O8" s="85" t="s">
        <v>214</v>
      </c>
      <c r="R8" s="85">
        <v>3500</v>
      </c>
    </row>
    <row r="9" spans="2:19" x14ac:dyDescent="0.3">
      <c r="B9" s="87" t="s">
        <v>179</v>
      </c>
      <c r="C9" s="87" t="s">
        <v>194</v>
      </c>
      <c r="D9" s="87" t="s">
        <v>204</v>
      </c>
      <c r="E9" s="87" t="s">
        <v>194</v>
      </c>
      <c r="F9" s="87" t="s">
        <v>204</v>
      </c>
      <c r="G9" s="87"/>
      <c r="M9" s="85">
        <f>SUM(M5:M7)</f>
        <v>220</v>
      </c>
      <c r="O9" s="85" t="s">
        <v>215</v>
      </c>
      <c r="R9" s="85">
        <v>3500</v>
      </c>
    </row>
    <row r="10" spans="2:19" x14ac:dyDescent="0.3">
      <c r="B10" s="87" t="s">
        <v>180</v>
      </c>
      <c r="C10" s="87" t="s">
        <v>195</v>
      </c>
      <c r="D10" s="87" t="s">
        <v>205</v>
      </c>
      <c r="E10" s="87" t="s">
        <v>195</v>
      </c>
      <c r="F10" s="87" t="s">
        <v>205</v>
      </c>
      <c r="G10" s="87"/>
    </row>
    <row r="11" spans="2:19" x14ac:dyDescent="0.3">
      <c r="B11" s="87" t="s">
        <v>181</v>
      </c>
      <c r="C11" s="87" t="s">
        <v>196</v>
      </c>
      <c r="D11" s="87"/>
      <c r="E11" s="87" t="s">
        <v>196</v>
      </c>
      <c r="F11" s="87"/>
      <c r="G11" s="87"/>
    </row>
    <row r="12" spans="2:19" x14ac:dyDescent="0.3">
      <c r="B12" s="87" t="s">
        <v>182</v>
      </c>
      <c r="C12" s="87"/>
      <c r="D12" s="87"/>
      <c r="E12" s="87"/>
      <c r="F12" s="87"/>
      <c r="G12" s="87"/>
    </row>
    <row r="13" spans="2:19" x14ac:dyDescent="0.3">
      <c r="B13" s="87" t="s">
        <v>183</v>
      </c>
      <c r="C13" s="87"/>
      <c r="D13" s="87"/>
      <c r="E13" s="87"/>
      <c r="F13" s="87"/>
      <c r="G13" s="87"/>
    </row>
    <row r="14" spans="2:19" x14ac:dyDescent="0.3">
      <c r="B14" s="87" t="s">
        <v>184</v>
      </c>
      <c r="C14" s="87"/>
      <c r="D14" s="87"/>
      <c r="E14" s="87"/>
      <c r="F14" s="87"/>
      <c r="G14" s="87"/>
    </row>
    <row r="15" spans="2:19" x14ac:dyDescent="0.3">
      <c r="B15" s="87" t="s">
        <v>185</v>
      </c>
      <c r="C15" s="87" t="s">
        <v>197</v>
      </c>
      <c r="D15" s="87"/>
      <c r="E15" s="87" t="s">
        <v>197</v>
      </c>
      <c r="F15" s="87"/>
      <c r="G15" s="87"/>
    </row>
    <row r="16" spans="2:19" x14ac:dyDescent="0.3">
      <c r="B16" s="87" t="s">
        <v>186</v>
      </c>
      <c r="C16" s="87" t="s">
        <v>198</v>
      </c>
      <c r="D16" s="87"/>
      <c r="E16" s="87" t="s">
        <v>198</v>
      </c>
      <c r="F16" s="87"/>
      <c r="G16" s="87"/>
    </row>
    <row r="17" spans="2:7" x14ac:dyDescent="0.3">
      <c r="B17" s="87" t="s">
        <v>187</v>
      </c>
      <c r="C17" s="87" t="s">
        <v>199</v>
      </c>
      <c r="D17" s="87" t="s">
        <v>206</v>
      </c>
      <c r="E17" s="87" t="s">
        <v>199</v>
      </c>
      <c r="F17" s="87" t="s">
        <v>200</v>
      </c>
      <c r="G17" s="87"/>
    </row>
    <row r="18" spans="2:7" x14ac:dyDescent="0.3">
      <c r="B18" s="87" t="s">
        <v>188</v>
      </c>
      <c r="C18" s="87"/>
      <c r="D18" s="87" t="s">
        <v>207</v>
      </c>
      <c r="E18" s="87"/>
      <c r="F18" s="87" t="s">
        <v>201</v>
      </c>
      <c r="G18" s="87"/>
    </row>
    <row r="19" spans="2:7" x14ac:dyDescent="0.3">
      <c r="B19" s="87" t="s">
        <v>189</v>
      </c>
      <c r="C19" s="87"/>
      <c r="D19" s="87" t="s">
        <v>208</v>
      </c>
      <c r="E19" s="87"/>
      <c r="F19" s="87" t="s">
        <v>202</v>
      </c>
      <c r="G19" s="87"/>
    </row>
    <row r="20" spans="2:7" x14ac:dyDescent="0.3">
      <c r="B20" s="87" t="s">
        <v>190</v>
      </c>
      <c r="C20" s="87"/>
      <c r="D20" s="87" t="s">
        <v>209</v>
      </c>
      <c r="E20" s="87"/>
      <c r="F20" s="87" t="s">
        <v>203</v>
      </c>
      <c r="G20" s="87"/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96B64C484D941A878D3D4FEC3FDED" ma:contentTypeVersion="21" ma:contentTypeDescription="Create a new document." ma:contentTypeScope="" ma:versionID="1cf911299d03c8ad61e78b6ba7685c09">
  <xsd:schema xmlns:xsd="http://www.w3.org/2001/XMLSchema" xmlns:xs="http://www.w3.org/2001/XMLSchema" xmlns:p="http://schemas.microsoft.com/office/2006/metadata/properties" xmlns:ns2="015bfc34-dd5d-4167-8874-5af8a2707fdd" xmlns:ns3="cc70379c-9cd0-449b-81ca-5ec782c703ec" targetNamespace="http://schemas.microsoft.com/office/2006/metadata/properties" ma:root="true" ma:fieldsID="46e35d4e2bcdb7cd970643f637f733ef" ns2:_="" ns3:_="">
    <xsd:import namespace="015bfc34-dd5d-4167-8874-5af8a2707fdd"/>
    <xsd:import namespace="cc70379c-9cd0-449b-81ca-5ec782c703e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bfc34-dd5d-4167-8874-5af8a2707fd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e6a72c3-422d-4083-8401-7b3852ad68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0379c-9cd0-449b-81ca-5ec782c703e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08db0a1-eda0-49a3-89f9-957a12777e7f}" ma:internalName="TaxCatchAll" ma:showField="CatchAllData" ma:web="cc70379c-9cd0-449b-81ca-5ec782c703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70379c-9cd0-449b-81ca-5ec782c703ec" xsi:nil="true"/>
    <lcf76f155ced4ddcb4097134ff3c332f xmlns="015bfc34-dd5d-4167-8874-5af8a2707fdd">
      <Terms xmlns="http://schemas.microsoft.com/office/infopath/2007/PartnerControls"/>
    </lcf76f155ced4ddcb4097134ff3c332f>
    <lcf76f155ced4ddcb4097134ff3c332f0 xmlns="015bfc34-dd5d-4167-8874-5af8a2707fdd" xsi:nil="true"/>
    <MigrationWizIdVersion xmlns="015bfc34-dd5d-4167-8874-5af8a2707fdd">f84cd613-f3f8-4799-96d7-48933ce5d8c6-638012742070000000</MigrationWizIdVersion>
    <MigrationWizIdPermissions xmlns="015bfc34-dd5d-4167-8874-5af8a2707fdd" xsi:nil="true"/>
    <MigrationWizId xmlns="015bfc34-dd5d-4167-8874-5af8a2707fdd">f84cd613-f3f8-4799-96d7-48933ce5d8c6</MigrationWizId>
    <_Flow_SignoffStatus xmlns="015bfc34-dd5d-4167-8874-5af8a2707fdd" xsi:nil="true"/>
  </documentManagement>
</p:properties>
</file>

<file path=customXml/itemProps1.xml><?xml version="1.0" encoding="utf-8"?>
<ds:datastoreItem xmlns:ds="http://schemas.openxmlformats.org/officeDocument/2006/customXml" ds:itemID="{4A9770B6-DBF1-4CC4-85EE-3D6FA2C8C1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70A6BC-ACBD-49A0-9E90-5D3402C12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5bfc34-dd5d-4167-8874-5af8a2707fdd"/>
    <ds:schemaRef ds:uri="cc70379c-9cd0-449b-81ca-5ec782c703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6EB27A-2DFA-4F52-A11F-24DD5F40D5F5}">
  <ds:schemaRefs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cc70379c-9cd0-449b-81ca-5ec782c703ec"/>
    <ds:schemaRef ds:uri="015bfc34-dd5d-4167-8874-5af8a2707fdd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Orçamentária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X3M</dc:creator>
  <cp:keywords/>
  <dc:description/>
  <cp:lastModifiedBy>Karine Barcelos</cp:lastModifiedBy>
  <cp:revision/>
  <dcterms:created xsi:type="dcterms:W3CDTF">2013-05-20T19:25:05Z</dcterms:created>
  <dcterms:modified xsi:type="dcterms:W3CDTF">2026-01-28T21:03:35Z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0x01010014596B64C484D941A878D3D4FEC3FDED</vt:lpwstr>
  </property>
  <property fmtid="{D5CDD505-2E9C-101B-9397-08002B2CF9AE}" pid="3" name="MediaServiceImageTags">
    <vt:lpwstr/>
  </property>
</Properties>
</file>