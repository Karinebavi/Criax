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AGINACAO 03\Downloads\"/>
    </mc:Choice>
  </mc:AlternateContent>
  <xr:revisionPtr revIDLastSave="0" documentId="8_{3B3A756B-D966-4C32-A5E6-CF526A4FF9E7}" xr6:coauthVersionLast="47" xr6:coauthVersionMax="47" xr10:uidLastSave="{00000000-0000-0000-0000-000000000000}"/>
  <bookViews>
    <workbookView xWindow="-108" yWindow="-108" windowWidth="23256" windowHeight="12456" tabRatio="540" xr2:uid="{00000000-000D-0000-FFFF-FFFF00000000}"/>
  </bookViews>
  <sheets>
    <sheet name="Planilha Nov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8" i="1"/>
  <c r="D32" i="1"/>
  <c r="I59" i="1"/>
  <c r="Q66" i="1" l="1"/>
  <c r="I41" i="1" l="1"/>
  <c r="I66" i="1"/>
  <c r="I65" i="1"/>
  <c r="I60" i="1"/>
  <c r="I58" i="1"/>
  <c r="I46" i="1"/>
  <c r="I44" i="1" s="1"/>
  <c r="I38" i="1"/>
  <c r="I39" i="1"/>
  <c r="I40" i="1"/>
  <c r="I37" i="1"/>
  <c r="I35" i="1" s="1"/>
  <c r="I25" i="1"/>
  <c r="I26" i="1"/>
  <c r="I27" i="1"/>
  <c r="I7" i="1"/>
  <c r="I9" i="1"/>
  <c r="I11" i="1"/>
  <c r="I6" i="1"/>
  <c r="H19" i="1"/>
  <c r="H18" i="1"/>
  <c r="H17" i="1"/>
  <c r="H16" i="1"/>
  <c r="I56" i="1" l="1"/>
  <c r="I4" i="1"/>
  <c r="I63" i="1"/>
  <c r="I69" i="1" l="1"/>
  <c r="F18" i="1"/>
  <c r="F17" i="1"/>
  <c r="F16" i="1"/>
  <c r="D19" i="1"/>
  <c r="I19" i="1" s="1"/>
  <c r="D18" i="1"/>
  <c r="D17" i="1"/>
  <c r="D16" i="1"/>
  <c r="Q65" i="1"/>
  <c r="Q60" i="1"/>
  <c r="Q59" i="1"/>
  <c r="Q58" i="1"/>
  <c r="Q46" i="1"/>
  <c r="Q41" i="1"/>
  <c r="Q40" i="1"/>
  <c r="Q39" i="1"/>
  <c r="Q38" i="1"/>
  <c r="Q37" i="1"/>
  <c r="Q32" i="1"/>
  <c r="Q27" i="1"/>
  <c r="Q26" i="1"/>
  <c r="Q25" i="1"/>
  <c r="Q24" i="1"/>
  <c r="Q7" i="1"/>
  <c r="Q9" i="1"/>
  <c r="Q11" i="1"/>
  <c r="Q6" i="1"/>
  <c r="I17" i="1" l="1"/>
  <c r="I16" i="1"/>
  <c r="I18" i="1"/>
  <c r="I32" i="1"/>
  <c r="I30" i="1" s="1"/>
  <c r="I14" i="1" l="1"/>
  <c r="D24" i="1"/>
  <c r="I24" i="1" s="1"/>
  <c r="I22" i="1" s="1"/>
  <c r="I50" i="1" l="1"/>
  <c r="I70" i="1" s="1"/>
  <c r="I71" i="1" s="1"/>
  <c r="J69" i="1" l="1"/>
  <c r="I72" i="1"/>
  <c r="J71" i="1"/>
</calcChain>
</file>

<file path=xl/sharedStrings.xml><?xml version="1.0" encoding="utf-8"?>
<sst xmlns="http://schemas.openxmlformats.org/spreadsheetml/2006/main" count="341" uniqueCount="121">
  <si>
    <t>ATIVIDADE FIM</t>
  </si>
  <si>
    <t>Nº</t>
  </si>
  <si>
    <t>Ações</t>
  </si>
  <si>
    <t>Quantidade</t>
  </si>
  <si>
    <t>Duração</t>
  </si>
  <si>
    <t>Fontes</t>
  </si>
  <si>
    <t>Total (R$)</t>
  </si>
  <si>
    <t>Recursos Humanos - Atividade Fim</t>
  </si>
  <si>
    <t>12 meses</t>
  </si>
  <si>
    <t>Pleito Efeito da Lei 11.438/06</t>
  </si>
  <si>
    <t>Detalhamento das Ações</t>
  </si>
  <si>
    <t>Resumo do Detalhamento</t>
  </si>
  <si>
    <t>Unidade</t>
  </si>
  <si>
    <t>Valor Unitário</t>
  </si>
  <si>
    <t>ORÇAMENTO 01</t>
  </si>
  <si>
    <t>VALOR</t>
  </si>
  <si>
    <t>ORÇAMENTO 02</t>
  </si>
  <si>
    <t>ORÇAMENTO 03</t>
  </si>
  <si>
    <t>MÉDIA</t>
  </si>
  <si>
    <t>1.1</t>
  </si>
  <si>
    <t>Profissional responsável pela coordenação geral do projeto, acompanhamento pedagógico das atividades esportivas e educacionais, elaboração de relatórios técnicos, planejamento, monitoramento de metas e interface com a equipe executora e órgãos parceiros. MC: 1 Profissional  x 12 meses</t>
  </si>
  <si>
    <t>Pessoa</t>
  </si>
  <si>
    <t>Mês</t>
  </si>
  <si>
    <t>Planilha de RH do Ministério</t>
  </si>
  <si>
    <t>1.2</t>
  </si>
  <si>
    <t xml:space="preserve">Professor 1 </t>
  </si>
  <si>
    <t xml:space="preserve">Profissional responsável pelo planejamento e execução das aulas, orientando os participantes quanto à prática esportiva segura, desenvolvimento técnico, disciplina e valores do esporte, respeitando as faixas etárias e os objetivos do projeto. MC: 1 Profissional  x 12 meses </t>
  </si>
  <si>
    <t>1.3</t>
  </si>
  <si>
    <t xml:space="preserve">Responsável por auxiliar a execução das ações previamente planejadas para o acontecimento do projeto.  MC: 1 Profissional  x 12 meses </t>
  </si>
  <si>
    <t>1.4</t>
  </si>
  <si>
    <t xml:space="preserve">Responsáveis em auxiliar o professor nas atividades do projeto. MC: 1 Profissional  x 12 meses </t>
  </si>
  <si>
    <t>Encargos Trabalhistas - Atividade Fim</t>
  </si>
  <si>
    <t>2.1</t>
  </si>
  <si>
    <t>Encargos inerentes a contratação por CLT</t>
  </si>
  <si>
    <t>Encargo</t>
  </si>
  <si>
    <t>2.2</t>
  </si>
  <si>
    <t>Encargos Trabalhistas Professor</t>
  </si>
  <si>
    <t>2.3</t>
  </si>
  <si>
    <t>2.4</t>
  </si>
  <si>
    <t>Encargos Trabalhistas Estagiário</t>
  </si>
  <si>
    <t>Uniformes - Atividade Fim</t>
  </si>
  <si>
    <t>3.1</t>
  </si>
  <si>
    <t>Camiseta: Material: 90% poliéster e 10% elastano. Tamanho: P, M, G e GG. Dimensões aproximadas: 52 X 70 L x A</t>
  </si>
  <si>
    <t>Dia</t>
  </si>
  <si>
    <t>Item 2193 da Planilha de Referência.</t>
  </si>
  <si>
    <t>3.2</t>
  </si>
  <si>
    <t>Bermuda de Microfibra Masculina, para utilização em treinamentos e competições. Tamanhos: P, M, G e GG.</t>
  </si>
  <si>
    <t>Bermuda necessaria para realização das atividades do projeto. MC: 120 beneficiarios x 1 bermuda para cada</t>
  </si>
  <si>
    <t>Item 989 da Planilha de Referência</t>
  </si>
  <si>
    <t>3.3</t>
  </si>
  <si>
    <t>Colete Unissex Atletas. Cores: Neon, Zest (laranja). Tecido: Dry fit. Tamanhos: P, M, G, GG. Logos (largura): Frente 'Asics' 8 cm, 'CBHb' 8 cm, 'Correios' 8cm e 22 cm, 'Banco do Brasil' 10x10cm, 4x4cm, Costas: 'Asics', 'Correios' 22 cm, 'Banco do Brasil' 10x10cm. Deverá haver uma distância de 4 cm do logo 'Asics' em relação a qualquer outro logo. Categorias: Adulto, Junior, Juvenil, Cadete, Infantil. Para Jogo e Treinamento. Handebol Indoor. .</t>
  </si>
  <si>
    <t>Colete necessario para as atividades de interação entre os alunos do projeto. MC 4 turmas x 15 alunos = 60</t>
  </si>
  <si>
    <t>Item 2706 da Planilha de Referência</t>
  </si>
  <si>
    <t>3.4</t>
  </si>
  <si>
    <t>Meião - 100% poliamida, ajuste para perna larga, secção de ventilação malha na parte de trás da perna para permitir que o ar circule, secção de ventilação na parte superior do pé para melhor respirabilidade, totalmente acolchoada laço malha construção em pé, tornozelo elástico e suporte do arco, sistema Anti aglomeração para minimizar tecidos extras e dobras quando flexionando o pé, costura toe plana. Tam P a G. PAR.</t>
  </si>
  <si>
    <t>Meião para futebol. Item necessario para realização das atividades do projeto. MC: 120 beneficiarios x 1 par de meião para cada</t>
  </si>
  <si>
    <t>Item 4972 da Planilha de Referência</t>
  </si>
  <si>
    <t>Hospedagem/Alimentação - Atividade Fim</t>
  </si>
  <si>
    <t>4.1</t>
  </si>
  <si>
    <t>Alimentação - Beneficiados</t>
  </si>
  <si>
    <t>Alimentação para beneficiados do projeto MC = 120 beneficiados x 03 dias de aula = 600 lanches por semana x 4 semanas no mês</t>
  </si>
  <si>
    <t>Material de Consumo/Esportivo - Atividade Fim</t>
  </si>
  <si>
    <t>5.1</t>
  </si>
  <si>
    <t>Bola - material de alta qualidade no revestimento, no reforço e na câmara para desempenho perfeito em campo. SELAGEM TÉRMICA: Superfície sem costuras para uma trajetória mais precisa, melhor aderência e menor absorção de água. Material: 100% Poliuretano.</t>
  </si>
  <si>
    <t xml:space="preserve">Bola de Futebol - tam 3 oficial para prática da modalidade. MC: 30 unidades para o período de execução do projeto </t>
  </si>
  <si>
    <t>Item 1083 da Planilha de Referência</t>
  </si>
  <si>
    <t>5.4</t>
  </si>
  <si>
    <t>Cinto de reação. cinto para treinamento defensivo e da capacidade de reação; fechamento com velcro.</t>
  </si>
  <si>
    <t xml:space="preserve">Cinto de tração Duplo elástico. MC: 10 unidades para o período de execução do projeto </t>
  </si>
  <si>
    <t>Item 2555 da Planilha de Referência</t>
  </si>
  <si>
    <t>5.5</t>
  </si>
  <si>
    <t>Disco de Equilíbrio - confeccionado em Plástico ABS, Cor Preta, suporta até 100 kg, diâmetro de 39,5 cm.</t>
  </si>
  <si>
    <t xml:space="preserve">Disco de Equilíbrio para realização das atividades do projeto. MC: 8 unidades + 2 reserva de contigência </t>
  </si>
  <si>
    <t>Item 3252 da Planilha de Referência</t>
  </si>
  <si>
    <t>5.6</t>
  </si>
  <si>
    <t>Escada de coordenação de 9 espaços; A Prova dágua; Trava que facilite o recolhimento e a montagem da escada; Fabricada em tecido sintético de nylon flexível e rebites de alumínio; Com bolsa de transporte. Comprimentos: 4,20m; Largura: 0,5m; Largura da Fita: 3,5cm;</t>
  </si>
  <si>
    <t>Escada de coordenação para realização das atividades do projeto. MC: 3 unidades para o período de execução do projeto</t>
  </si>
  <si>
    <t>Item 3601 da Planilha de Referência</t>
  </si>
  <si>
    <t>5.7</t>
  </si>
  <si>
    <t>Rede de futebol de campo com fio, de alta qualidade, em polietileno</t>
  </si>
  <si>
    <t>Rede de futebol de campo com fio, de alta qualidade, em polietileno para realização das atividades do projeot. MC: 2 pares para o período de execução do projeto</t>
  </si>
  <si>
    <t>Par</t>
  </si>
  <si>
    <t>Item 6553 da Planilha de Referência</t>
  </si>
  <si>
    <t>Seguro - Atividade Fim</t>
  </si>
  <si>
    <t>6.1</t>
  </si>
  <si>
    <t>Seguro de Beneficiários</t>
  </si>
  <si>
    <t>Seguro de acidentes pessoais, cobertura total para os 120 beneficiados do projeto. MC: 120 beneficiados x 12 meses</t>
  </si>
  <si>
    <t>Painel de Preços</t>
  </si>
  <si>
    <t xml:space="preserve">Total Despesas Atividade Fim: </t>
  </si>
  <si>
    <t>ATIVIDADE MEIO</t>
  </si>
  <si>
    <t>Serviços de Terceiros - Atividade Meio</t>
  </si>
  <si>
    <t>Assessoria contábil - Profissional de nível superior, responsável por fazer a contabilidade mensal.</t>
  </si>
  <si>
    <t>Contratação de serviços contábeis para o projeto (emissão de guias de impostos 
e encargos, lançamento contábil e fiscal de todos os pagamentos do projeto). MC: 1 serviço x 12 meses.</t>
  </si>
  <si>
    <t>Serviço</t>
  </si>
  <si>
    <t>Item 581 - Planilha de Referência do Ministério</t>
  </si>
  <si>
    <t>Serviço de Prestação de Contas</t>
  </si>
  <si>
    <t>Serviço de prestação de contas do projeto. Aquisição de dados e documentos junto ao proponente e manutenção dos mesmos. Entrega das prestações de conta parcial e final do projeto. MC: 1 serviço x 12 meses.</t>
  </si>
  <si>
    <t>Divulgação/Promoção - Atividade Meio</t>
  </si>
  <si>
    <t>Banners 1,00 X 1,30m: Banners para divulgação de Campeonatos, Pilastras e cursos para crianças e deficientes.</t>
  </si>
  <si>
    <t>Banners 1,00 X 1,30m: Banners para divulgação de Campeonatos, Pilastras e cursos para crianças e deficientes. MC: 5 unidades para o período de execução do projeto</t>
  </si>
  <si>
    <t>Item 729 Planilha de Precificação</t>
  </si>
  <si>
    <t>Backdrop, em lona, 4 cores, medindo 4m x 3m, com impressão de logomarcas</t>
  </si>
  <si>
    <t>Painel de fundo impresso em lona ou tecido, com estrutura metálica, utilizado em eventos, cerimônias de abertura/encerramento e ações de visibilidade do projeto. MC: 1 unidade para o período de execução do projeto</t>
  </si>
  <si>
    <t xml:space="preserve">Unidade </t>
  </si>
  <si>
    <t xml:space="preserve">Dia </t>
  </si>
  <si>
    <t>Item 614 Planilha de Precificação</t>
  </si>
  <si>
    <t xml:space="preserve">Total Despesas Atividade Meio: </t>
  </si>
  <si>
    <t>Total Atividade Fim + Meio</t>
  </si>
  <si>
    <t>Valor de Elaboração / Captação</t>
  </si>
  <si>
    <t>Valor Total do Projeto</t>
  </si>
  <si>
    <t>Camisa Unissex - Personalizada - Uniformes para beneficiados do projeto. MC: 120 beneficiarios x 2 camisas para cada</t>
  </si>
  <si>
    <t>Contratação de Profissional Qualificado - Web Designer / Web Master: Manutenção do site Institucional .</t>
  </si>
  <si>
    <t>Serviço de criação da logomarca e identidade visual e atualização do site. MC: 1 serviço x 12 meses.</t>
  </si>
  <si>
    <t>Item 2945 - Planilha de Referência do Ministério</t>
  </si>
  <si>
    <t>Gerente Geral</t>
  </si>
  <si>
    <t xml:space="preserve">Painel de Preços </t>
  </si>
  <si>
    <t>Encargos Trabalhistas Gerente Geral</t>
  </si>
  <si>
    <t>Encargo Trabalhistas Coordenador Técnico</t>
  </si>
  <si>
    <t xml:space="preserve">Oficineiro </t>
  </si>
  <si>
    <t xml:space="preserve">Assistente Social </t>
  </si>
  <si>
    <t xml:space="preserve">Psicologa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</si>
</sst>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9"/>
      <color rgb="FF003366"/>
      <name val="Arial"/>
      <family val="2"/>
    </font>
    <font>
      <b/>
      <sz val="9"/>
      <color rgb="FF003366"/>
      <name val="Arial"/>
      <family val="2"/>
    </font>
    <font>
      <sz val="7"/>
      <color rgb="FF003366"/>
      <name val="Verdana"/>
      <family val="2"/>
    </font>
    <font>
      <b/>
      <sz val="20"/>
      <color rgb="FFFFFFFF"/>
      <name val="Arial"/>
      <family val="2"/>
    </font>
    <font>
      <b/>
      <sz val="11"/>
      <color rgb="FF003366"/>
      <name val="Calibri"/>
      <family val="2"/>
      <scheme val="minor"/>
    </font>
    <font>
      <sz val="9"/>
      <name val="Arial"/>
      <family val="2"/>
    </font>
    <font>
      <sz val="8"/>
      <name val="Calibri"/>
      <family val="2"/>
      <scheme val="minor"/>
    </font>
    <font>
      <b/>
      <sz val="11"/>
      <color rgb="FFFFFFFF"/>
      <name val="Helvetica"/>
      <family val="2"/>
    </font>
    <font>
      <sz val="11"/>
      <color rgb="FF0D0D0D"/>
      <name val="Calibri"/>
      <family val="2"/>
      <scheme val="minor"/>
    </font>
    <font>
      <sz val="10"/>
      <color theme="1"/>
      <name val="Tahoma"/>
      <family val="2"/>
    </font>
    <font>
      <sz val="10"/>
      <name val="Tahoma"/>
      <family val="2"/>
    </font>
    <font>
      <sz val="10"/>
      <color rgb="FF003366"/>
      <name val="Tahoma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28EAA"/>
        <bgColor indexed="64"/>
      </patternFill>
    </fill>
    <fill>
      <patternFill patternType="solid">
        <fgColor rgb="FFCCE3EA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F81BD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4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0" fontId="0" fillId="6" borderId="0" xfId="1" applyNumberFormat="1" applyFont="1" applyFill="1"/>
    <xf numFmtId="0" fontId="0" fillId="7" borderId="0" xfId="0" applyFill="1"/>
    <xf numFmtId="44" fontId="4" fillId="0" borderId="1" xfId="2" applyFont="1" applyFill="1" applyBorder="1" applyAlignment="1">
      <alignment horizontal="right" vertical="center" wrapText="1"/>
    </xf>
    <xf numFmtId="0" fontId="0" fillId="0" borderId="12" xfId="0" applyBorder="1"/>
    <xf numFmtId="0" fontId="10" fillId="8" borderId="11" xfId="0" applyFon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44" fontId="4" fillId="0" borderId="4" xfId="2" applyFont="1" applyFill="1" applyBorder="1" applyAlignment="1">
      <alignment vertical="center" wrapText="1"/>
    </xf>
    <xf numFmtId="4" fontId="4" fillId="0" borderId="4" xfId="0" applyNumberFormat="1" applyFont="1" applyBorder="1" applyAlignment="1">
      <alignment vertical="center" wrapText="1"/>
    </xf>
    <xf numFmtId="4" fontId="7" fillId="0" borderId="4" xfId="0" applyNumberFormat="1" applyFont="1" applyBorder="1"/>
    <xf numFmtId="0" fontId="11" fillId="0" borderId="13" xfId="0" applyFont="1" applyBorder="1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horizontal="center" vertical="center" wrapText="1"/>
    </xf>
    <xf numFmtId="44" fontId="0" fillId="0" borderId="0" xfId="0" applyNumberFormat="1" applyAlignment="1">
      <alignment vertical="center"/>
    </xf>
    <xf numFmtId="0" fontId="12" fillId="7" borderId="1" xfId="0" applyFont="1" applyFill="1" applyBorder="1" applyAlignment="1">
      <alignment horizontal="center" vertical="center" wrapText="1"/>
    </xf>
    <xf numFmtId="8" fontId="12" fillId="7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4" fontId="8" fillId="0" borderId="3" xfId="2" applyFont="1" applyFill="1" applyBorder="1" applyAlignment="1">
      <alignment horizontal="center" vertical="center" wrapText="1"/>
    </xf>
    <xf numFmtId="44" fontId="3" fillId="0" borderId="3" xfId="2" applyFont="1" applyFill="1" applyBorder="1" applyAlignment="1">
      <alignment horizontal="center" vertical="center" wrapText="1"/>
    </xf>
    <xf numFmtId="44" fontId="8" fillId="2" borderId="0" xfId="2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44" fontId="0" fillId="9" borderId="12" xfId="2" applyFont="1" applyFill="1" applyBorder="1" applyAlignment="1">
      <alignment vertical="center"/>
    </xf>
    <xf numFmtId="44" fontId="4" fillId="0" borderId="1" xfId="2" applyFont="1" applyBorder="1" applyAlignment="1">
      <alignment horizontal="right" vertical="center" wrapText="1"/>
    </xf>
    <xf numFmtId="44" fontId="8" fillId="2" borderId="1" xfId="2" applyFont="1" applyFill="1" applyBorder="1" applyAlignment="1">
      <alignment horizontal="center" vertical="center" wrapText="1"/>
    </xf>
    <xf numFmtId="44" fontId="0" fillId="0" borderId="12" xfId="2" applyFont="1" applyBorder="1"/>
    <xf numFmtId="44" fontId="0" fillId="0" borderId="12" xfId="2" applyFont="1" applyBorder="1" applyAlignment="1">
      <alignment horizontal="center" vertical="center" wrapText="1"/>
    </xf>
    <xf numFmtId="44" fontId="0" fillId="0" borderId="12" xfId="2" applyFont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4" fontId="13" fillId="0" borderId="1" xfId="2" applyFont="1" applyFill="1" applyBorder="1" applyAlignment="1">
      <alignment horizontal="center" vertical="center" wrapText="1"/>
    </xf>
    <xf numFmtId="44" fontId="13" fillId="0" borderId="1" xfId="0" applyNumberFormat="1" applyFont="1" applyBorder="1" applyAlignment="1">
      <alignment horizontal="center" vertical="center" wrapText="1"/>
    </xf>
    <xf numFmtId="44" fontId="14" fillId="0" borderId="1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8" fontId="12" fillId="7" borderId="3" xfId="0" applyNumberFormat="1" applyFont="1" applyFill="1" applyBorder="1" applyAlignment="1">
      <alignment horizontal="center" vertical="center" wrapText="1"/>
    </xf>
    <xf numFmtId="44" fontId="13" fillId="0" borderId="3" xfId="2" applyFont="1" applyFill="1" applyBorder="1" applyAlignment="1">
      <alignment horizontal="center" vertical="center" wrapText="1"/>
    </xf>
    <xf numFmtId="44" fontId="13" fillId="0" borderId="3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44" fontId="0" fillId="0" borderId="0" xfId="2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44" fontId="0" fillId="0" borderId="0" xfId="2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4" fontId="0" fillId="9" borderId="0" xfId="2" applyFont="1" applyFill="1" applyBorder="1" applyAlignment="1">
      <alignment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44" fontId="14" fillId="0" borderId="4" xfId="0" applyNumberFormat="1" applyFont="1" applyBorder="1" applyAlignment="1">
      <alignment horizontal="center" vertical="center" wrapText="1"/>
    </xf>
    <xf numFmtId="44" fontId="0" fillId="0" borderId="0" xfId="2" applyFont="1" applyBorder="1"/>
    <xf numFmtId="4" fontId="7" fillId="10" borderId="4" xfId="0" applyNumberFormat="1" applyFont="1" applyFill="1" applyBorder="1"/>
    <xf numFmtId="0" fontId="10" fillId="0" borderId="0" xfId="0" applyFont="1" applyAlignment="1">
      <alignment horizontal="center" vertical="center"/>
    </xf>
    <xf numFmtId="44" fontId="0" fillId="0" borderId="0" xfId="2" applyFont="1" applyFill="1" applyBorder="1" applyAlignment="1">
      <alignment horizontal="center" vertical="center" wrapText="1"/>
    </xf>
    <xf numFmtId="44" fontId="0" fillId="0" borderId="0" xfId="2" applyFont="1" applyFill="1" applyBorder="1" applyAlignment="1">
      <alignment horizontal="center" vertical="center"/>
    </xf>
    <xf numFmtId="44" fontId="0" fillId="0" borderId="0" xfId="2" applyFont="1" applyFill="1" applyBorder="1" applyAlignment="1">
      <alignment vertical="center"/>
    </xf>
    <xf numFmtId="44" fontId="13" fillId="10" borderId="1" xfId="0" applyNumberFormat="1" applyFont="1" applyFill="1" applyBorder="1" applyAlignment="1">
      <alignment horizontal="center" vertical="center" wrapText="1"/>
    </xf>
    <xf numFmtId="164" fontId="0" fillId="7" borderId="12" xfId="0" applyNumberFormat="1" applyFill="1" applyBorder="1" applyAlignment="1">
      <alignment horizontal="center" vertical="center"/>
    </xf>
    <xf numFmtId="44" fontId="0" fillId="7" borderId="12" xfId="2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44" fontId="13" fillId="7" borderId="1" xfId="0" applyNumberFormat="1" applyFont="1" applyFill="1" applyBorder="1" applyAlignment="1">
      <alignment horizontal="center" vertical="center" wrapText="1"/>
    </xf>
    <xf numFmtId="44" fontId="14" fillId="7" borderId="1" xfId="0" applyNumberFormat="1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44" fontId="16" fillId="11" borderId="1" xfId="2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44" fontId="0" fillId="7" borderId="4" xfId="3" applyFont="1" applyFill="1" applyBorder="1" applyAlignment="1" applyProtection="1">
      <alignment horizontal="center" vertical="center"/>
      <protection locked="0"/>
    </xf>
    <xf numFmtId="0" fontId="17" fillId="0" borderId="15" xfId="0" applyFont="1" applyBorder="1" applyAlignment="1">
      <alignment horizontal="center" vertical="center" wrapText="1"/>
    </xf>
    <xf numFmtId="164" fontId="0" fillId="10" borderId="12" xfId="0" applyNumberFormat="1" applyFill="1" applyBorder="1" applyAlignment="1">
      <alignment horizontal="center" vertical="center" wrapText="1"/>
    </xf>
    <xf numFmtId="44" fontId="0" fillId="10" borderId="12" xfId="2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164" fontId="0" fillId="7" borderId="16" xfId="0" applyNumberForma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4" fontId="0" fillId="7" borderId="1" xfId="2" applyFont="1" applyFill="1" applyBorder="1" applyAlignment="1">
      <alignment horizontal="center" vertical="center" wrapText="1"/>
    </xf>
    <xf numFmtId="44" fontId="17" fillId="11" borderId="1" xfId="2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44" fontId="0" fillId="12" borderId="4" xfId="3" applyFont="1" applyFill="1" applyBorder="1" applyAlignment="1" applyProtection="1">
      <alignment horizontal="center" vertical="center"/>
      <protection locked="0"/>
    </xf>
    <xf numFmtId="44" fontId="0" fillId="12" borderId="15" xfId="2" applyFont="1" applyFill="1" applyBorder="1" applyAlignment="1">
      <alignment horizontal="center" vertical="center" wrapText="1"/>
    </xf>
    <xf numFmtId="44" fontId="16" fillId="11" borderId="1" xfId="5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44" fontId="13" fillId="10" borderId="1" xfId="2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8" fontId="12" fillId="10" borderId="1" xfId="0" applyNumberFormat="1" applyFont="1" applyFill="1" applyBorder="1" applyAlignment="1">
      <alignment horizontal="center" vertical="center" wrapText="1"/>
    </xf>
    <xf numFmtId="44" fontId="12" fillId="10" borderId="1" xfId="2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8" fontId="12" fillId="13" borderId="1" xfId="0" applyNumberFormat="1" applyFont="1" applyFill="1" applyBorder="1" applyAlignment="1">
      <alignment horizontal="center" vertical="center" wrapText="1"/>
    </xf>
    <xf numFmtId="44" fontId="13" fillId="13" borderId="1" xfId="2" applyFont="1" applyFill="1" applyBorder="1" applyAlignment="1">
      <alignment horizontal="center" vertical="center" wrapText="1"/>
    </xf>
    <xf numFmtId="44" fontId="13" fillId="13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right"/>
    </xf>
    <xf numFmtId="0" fontId="7" fillId="5" borderId="3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 vertical="center" wrapText="1"/>
    </xf>
    <xf numFmtId="0" fontId="4" fillId="5" borderId="3" xfId="0" applyFont="1" applyFill="1" applyBorder="1" applyAlignment="1">
      <alignment horizontal="right" vertical="center" wrapText="1"/>
    </xf>
    <xf numFmtId="44" fontId="16" fillId="11" borderId="0" xfId="2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</cellXfs>
  <cellStyles count="7">
    <cellStyle name="Moeda" xfId="2" builtinId="4"/>
    <cellStyle name="Moeda 2" xfId="3" xr:uid="{D58F7981-CED7-4773-AC0B-20A9C5E877A1}"/>
    <cellStyle name="Moeda 2 2" xfId="5" xr:uid="{B5C6A081-1EE8-45A1-B0F0-50182C391695}"/>
    <cellStyle name="Moeda 3" xfId="6" xr:uid="{EAAC6CFA-5AA0-41FC-B4BF-BAC309F5C8B8}"/>
    <cellStyle name="Moeda 4" xfId="4" xr:uid="{00C29104-B3CF-49F3-8960-A2E4D75CAE21}"/>
    <cellStyle name="Normal" xfId="0" builtinId="0"/>
    <cellStyle name="Porcentagem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66FF"/>
      <color rgb="FF003366"/>
      <color rgb="FFDFDF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2"/>
  <sheetViews>
    <sheetView showGridLines="0" tabSelected="1" topLeftCell="A6" zoomScaleNormal="100" workbookViewId="0">
      <selection activeCell="I14" sqref="I14"/>
    </sheetView>
  </sheetViews>
  <sheetFormatPr defaultColWidth="8.88671875" defaultRowHeight="14.4" x14ac:dyDescent="0.3"/>
  <cols>
    <col min="1" max="1" width="5.109375" customWidth="1"/>
    <col min="2" max="2" width="25.44140625" customWidth="1"/>
    <col min="3" max="3" width="36.33203125" customWidth="1"/>
    <col min="4" max="4" width="9" bestFit="1" customWidth="1"/>
    <col min="5" max="5" width="10" customWidth="1"/>
    <col min="7" max="7" width="11.88671875" bestFit="1" customWidth="1"/>
    <col min="8" max="8" width="16.88671875" customWidth="1"/>
    <col min="9" max="9" width="18.88671875" bestFit="1" customWidth="1"/>
    <col min="10" max="10" width="7.6640625" customWidth="1"/>
    <col min="11" max="11" width="17.44140625" bestFit="1" customWidth="1"/>
    <col min="12" max="12" width="13.44140625" customWidth="1"/>
    <col min="13" max="13" width="18.44140625" customWidth="1"/>
    <col min="14" max="14" width="13.6640625" bestFit="1" customWidth="1"/>
    <col min="15" max="15" width="18.109375" customWidth="1"/>
    <col min="16" max="16" width="14.6640625" customWidth="1"/>
    <col min="17" max="17" width="18.109375" customWidth="1"/>
  </cols>
  <sheetData>
    <row r="1" spans="1:17" x14ac:dyDescent="0.3">
      <c r="A1" s="102" t="s">
        <v>0</v>
      </c>
      <c r="B1" s="103"/>
      <c r="C1" s="103"/>
      <c r="D1" s="103"/>
      <c r="E1" s="103"/>
      <c r="F1" s="103"/>
      <c r="G1" s="103"/>
      <c r="H1" s="103"/>
      <c r="I1" s="104"/>
    </row>
    <row r="2" spans="1:17" x14ac:dyDescent="0.3">
      <c r="A2" s="105"/>
      <c r="B2" s="106"/>
      <c r="C2" s="106"/>
      <c r="D2" s="106"/>
      <c r="E2" s="106"/>
      <c r="F2" s="106"/>
      <c r="G2" s="106"/>
      <c r="H2" s="106"/>
      <c r="I2" s="107"/>
    </row>
    <row r="3" spans="1:17" x14ac:dyDescent="0.3">
      <c r="A3" s="4" t="s">
        <v>1</v>
      </c>
      <c r="B3" s="99" t="s">
        <v>2</v>
      </c>
      <c r="C3" s="100"/>
      <c r="D3" s="2" t="s">
        <v>3</v>
      </c>
      <c r="E3" s="2" t="s">
        <v>4</v>
      </c>
      <c r="F3" s="99" t="s">
        <v>5</v>
      </c>
      <c r="G3" s="101"/>
      <c r="H3" s="100"/>
      <c r="I3" s="2" t="s">
        <v>6</v>
      </c>
    </row>
    <row r="4" spans="1:17" x14ac:dyDescent="0.3">
      <c r="A4" s="5">
        <v>1</v>
      </c>
      <c r="B4" s="96" t="s">
        <v>7</v>
      </c>
      <c r="C4" s="96"/>
      <c r="D4" s="97"/>
      <c r="E4" s="3" t="s">
        <v>8</v>
      </c>
      <c r="F4" s="98" t="s">
        <v>9</v>
      </c>
      <c r="G4" s="96"/>
      <c r="H4" s="97"/>
      <c r="I4" s="8">
        <f>SUM(I6:I11)</f>
        <v>192000</v>
      </c>
    </row>
    <row r="5" spans="1:17" x14ac:dyDescent="0.3">
      <c r="A5" s="34" t="s">
        <v>1</v>
      </c>
      <c r="B5" s="34" t="s">
        <v>10</v>
      </c>
      <c r="C5" s="34" t="s">
        <v>11</v>
      </c>
      <c r="D5" s="34" t="s">
        <v>3</v>
      </c>
      <c r="E5" s="34" t="s">
        <v>12</v>
      </c>
      <c r="F5" s="34" t="s">
        <v>4</v>
      </c>
      <c r="G5" s="34" t="s">
        <v>12</v>
      </c>
      <c r="H5" s="34" t="s">
        <v>13</v>
      </c>
      <c r="I5" s="34" t="s">
        <v>6</v>
      </c>
      <c r="K5" s="10" t="s">
        <v>14</v>
      </c>
      <c r="L5" s="10" t="s">
        <v>15</v>
      </c>
      <c r="M5" s="10" t="s">
        <v>16</v>
      </c>
      <c r="N5" s="10" t="s">
        <v>15</v>
      </c>
      <c r="O5" s="10" t="s">
        <v>17</v>
      </c>
      <c r="P5" s="10" t="s">
        <v>15</v>
      </c>
      <c r="Q5" s="10" t="s">
        <v>18</v>
      </c>
    </row>
    <row r="6" spans="1:17" ht="108" customHeight="1" x14ac:dyDescent="0.3">
      <c r="A6" s="95" t="s">
        <v>19</v>
      </c>
      <c r="B6" s="86" t="s">
        <v>114</v>
      </c>
      <c r="C6" s="86" t="s">
        <v>20</v>
      </c>
      <c r="D6" s="86">
        <v>1</v>
      </c>
      <c r="E6" s="87" t="s">
        <v>21</v>
      </c>
      <c r="F6" s="86">
        <v>12</v>
      </c>
      <c r="G6" s="88" t="s">
        <v>22</v>
      </c>
      <c r="H6" s="85">
        <v>4000</v>
      </c>
      <c r="I6" s="85">
        <f>H6*F6*D6</f>
        <v>48000</v>
      </c>
      <c r="K6" s="66" t="s">
        <v>23</v>
      </c>
      <c r="L6" s="73">
        <v>17425</v>
      </c>
      <c r="M6" s="11"/>
      <c r="N6" s="33"/>
      <c r="O6" s="16"/>
      <c r="P6" s="33"/>
      <c r="Q6" s="28">
        <f>AVERAGE(L6,N6,P6)</f>
        <v>17425</v>
      </c>
    </row>
    <row r="7" spans="1:17" ht="105.6" x14ac:dyDescent="0.3">
      <c r="A7" s="95" t="s">
        <v>24</v>
      </c>
      <c r="B7" s="86" t="s">
        <v>25</v>
      </c>
      <c r="C7" s="86" t="s">
        <v>26</v>
      </c>
      <c r="D7" s="86">
        <v>2</v>
      </c>
      <c r="E7" s="87" t="s">
        <v>21</v>
      </c>
      <c r="F7" s="86">
        <v>12</v>
      </c>
      <c r="G7" s="88" t="s">
        <v>22</v>
      </c>
      <c r="H7" s="85">
        <v>3500</v>
      </c>
      <c r="I7" s="85">
        <f t="shared" ref="I7:I11" si="0">H7*F7*D7</f>
        <v>84000</v>
      </c>
      <c r="K7" s="66" t="s">
        <v>23</v>
      </c>
      <c r="L7" s="67">
        <v>7357.27</v>
      </c>
      <c r="M7" s="11"/>
      <c r="N7" s="33"/>
      <c r="O7" s="16"/>
      <c r="P7" s="33"/>
      <c r="Q7" s="28">
        <f t="shared" ref="Q7:Q11" si="1">AVERAGE(L7,N7,P7)</f>
        <v>7357.27</v>
      </c>
    </row>
    <row r="8" spans="1:17" x14ac:dyDescent="0.3">
      <c r="A8" s="95"/>
      <c r="B8" s="86"/>
      <c r="C8" s="86"/>
      <c r="D8" s="86"/>
      <c r="E8" s="87"/>
      <c r="F8" s="86"/>
      <c r="G8" s="88"/>
      <c r="H8" s="85">
        <v>1500</v>
      </c>
      <c r="I8" s="85">
        <f t="shared" si="0"/>
        <v>0</v>
      </c>
      <c r="K8" s="66"/>
      <c r="L8" s="112"/>
      <c r="M8" s="11"/>
      <c r="N8" s="33"/>
      <c r="O8" s="16"/>
      <c r="P8" s="33"/>
      <c r="Q8" s="28"/>
    </row>
    <row r="9" spans="1:17" ht="52.8" x14ac:dyDescent="0.3">
      <c r="A9" s="95" t="s">
        <v>27</v>
      </c>
      <c r="B9" s="86" t="s">
        <v>119</v>
      </c>
      <c r="C9" s="86" t="s">
        <v>28</v>
      </c>
      <c r="D9" s="86">
        <v>1</v>
      </c>
      <c r="E9" s="87" t="s">
        <v>21</v>
      </c>
      <c r="F9" s="86">
        <v>12</v>
      </c>
      <c r="G9" s="88" t="s">
        <v>22</v>
      </c>
      <c r="H9" s="85">
        <v>2000</v>
      </c>
      <c r="I9" s="85">
        <f t="shared" si="0"/>
        <v>24000</v>
      </c>
      <c r="K9" s="66" t="s">
        <v>23</v>
      </c>
      <c r="L9" s="32">
        <v>16557.59</v>
      </c>
      <c r="M9" s="11"/>
      <c r="N9" s="33"/>
      <c r="O9" s="16"/>
      <c r="P9" s="33"/>
      <c r="Q9" s="28">
        <f t="shared" si="1"/>
        <v>16557.59</v>
      </c>
    </row>
    <row r="10" spans="1:17" x14ac:dyDescent="0.3">
      <c r="A10" s="95"/>
      <c r="B10" s="86" t="s">
        <v>120</v>
      </c>
      <c r="C10" s="86"/>
      <c r="D10" s="86">
        <v>1</v>
      </c>
      <c r="E10" s="87"/>
      <c r="F10" s="86">
        <v>12</v>
      </c>
      <c r="G10" s="88"/>
      <c r="H10" s="85">
        <v>2000</v>
      </c>
      <c r="I10" s="85">
        <f t="shared" si="0"/>
        <v>24000</v>
      </c>
      <c r="K10" s="113"/>
      <c r="L10" s="32"/>
      <c r="M10" s="11"/>
      <c r="N10" s="33"/>
      <c r="O10" s="16"/>
      <c r="P10" s="33"/>
      <c r="Q10" s="28"/>
    </row>
    <row r="11" spans="1:17" ht="39.6" x14ac:dyDescent="0.3">
      <c r="A11" s="95" t="s">
        <v>29</v>
      </c>
      <c r="B11" s="86" t="s">
        <v>118</v>
      </c>
      <c r="C11" s="86" t="s">
        <v>30</v>
      </c>
      <c r="D11" s="86">
        <v>1</v>
      </c>
      <c r="E11" s="87" t="s">
        <v>21</v>
      </c>
      <c r="F11" s="86">
        <v>12</v>
      </c>
      <c r="G11" s="88" t="s">
        <v>22</v>
      </c>
      <c r="H11" s="85">
        <v>1000</v>
      </c>
      <c r="I11" s="85">
        <f t="shared" si="0"/>
        <v>12000</v>
      </c>
      <c r="K11" s="68" t="s">
        <v>23</v>
      </c>
      <c r="L11" s="32">
        <v>1453.0625</v>
      </c>
      <c r="M11" s="11"/>
      <c r="N11" s="33"/>
      <c r="O11" s="16"/>
      <c r="P11" s="33"/>
      <c r="Q11" s="28">
        <f t="shared" si="1"/>
        <v>1453.0625</v>
      </c>
    </row>
    <row r="12" spans="1:17" x14ac:dyDescent="0.3">
      <c r="I12" s="25"/>
    </row>
    <row r="13" spans="1:17" x14ac:dyDescent="0.3">
      <c r="A13" s="4" t="s">
        <v>1</v>
      </c>
      <c r="B13" s="99" t="s">
        <v>2</v>
      </c>
      <c r="C13" s="100"/>
      <c r="D13" s="2" t="s">
        <v>3</v>
      </c>
      <c r="E13" s="2" t="s">
        <v>4</v>
      </c>
      <c r="F13" s="99" t="s">
        <v>5</v>
      </c>
      <c r="G13" s="101"/>
      <c r="H13" s="100"/>
      <c r="I13" s="2" t="s">
        <v>6</v>
      </c>
    </row>
    <row r="14" spans="1:17" x14ac:dyDescent="0.3">
      <c r="A14" s="5">
        <v>2</v>
      </c>
      <c r="B14" s="96" t="s">
        <v>31</v>
      </c>
      <c r="C14" s="96"/>
      <c r="D14" s="97"/>
      <c r="E14" s="3" t="s">
        <v>8</v>
      </c>
      <c r="F14" s="98" t="s">
        <v>9</v>
      </c>
      <c r="G14" s="96"/>
      <c r="H14" s="97"/>
      <c r="I14" s="8">
        <f>SUM(I16:I19)</f>
        <v>106768</v>
      </c>
    </row>
    <row r="15" spans="1:17" x14ac:dyDescent="0.3">
      <c r="A15" s="1" t="s">
        <v>1</v>
      </c>
      <c r="B15" s="1" t="s">
        <v>10</v>
      </c>
      <c r="C15" s="1" t="s">
        <v>11</v>
      </c>
      <c r="D15" s="1" t="s">
        <v>3</v>
      </c>
      <c r="E15" s="1" t="s">
        <v>12</v>
      </c>
      <c r="F15" s="1" t="s">
        <v>4</v>
      </c>
      <c r="G15" s="1" t="s">
        <v>12</v>
      </c>
      <c r="H15" s="1" t="s">
        <v>13</v>
      </c>
      <c r="I15" s="1" t="s">
        <v>6</v>
      </c>
      <c r="K15" s="56"/>
      <c r="L15" s="56"/>
      <c r="M15" s="56"/>
      <c r="N15" s="56"/>
      <c r="O15" s="56"/>
      <c r="P15" s="56"/>
      <c r="Q15" s="56"/>
    </row>
    <row r="16" spans="1:17" ht="26.4" x14ac:dyDescent="0.3">
      <c r="A16" s="27" t="s">
        <v>32</v>
      </c>
      <c r="B16" s="86" t="s">
        <v>116</v>
      </c>
      <c r="C16" s="86" t="s">
        <v>33</v>
      </c>
      <c r="D16" s="86">
        <f>D6</f>
        <v>1</v>
      </c>
      <c r="E16" s="87" t="s">
        <v>34</v>
      </c>
      <c r="F16" s="86">
        <f>F6</f>
        <v>12</v>
      </c>
      <c r="G16" s="88" t="s">
        <v>22</v>
      </c>
      <c r="H16" s="85">
        <f>H6*0.678</f>
        <v>2712</v>
      </c>
      <c r="I16" s="60">
        <f>H16*F16*D16</f>
        <v>32544</v>
      </c>
      <c r="K16" s="45"/>
      <c r="L16" s="57"/>
      <c r="M16" s="47"/>
      <c r="N16" s="58"/>
      <c r="O16" s="49"/>
      <c r="P16" s="58"/>
      <c r="Q16" s="59"/>
    </row>
    <row r="17" spans="1:17" ht="26.4" x14ac:dyDescent="0.3">
      <c r="A17" s="27" t="s">
        <v>35</v>
      </c>
      <c r="B17" s="86" t="s">
        <v>36</v>
      </c>
      <c r="C17" s="86" t="s">
        <v>33</v>
      </c>
      <c r="D17" s="86">
        <f>D7</f>
        <v>2</v>
      </c>
      <c r="E17" s="87" t="s">
        <v>34</v>
      </c>
      <c r="F17" s="86">
        <f>F7</f>
        <v>12</v>
      </c>
      <c r="G17" s="88" t="s">
        <v>22</v>
      </c>
      <c r="H17" s="85">
        <f>H7*0.678</f>
        <v>2373</v>
      </c>
      <c r="I17" s="60">
        <f>H17*F17*D17</f>
        <v>56952</v>
      </c>
      <c r="K17" s="45"/>
      <c r="L17" s="57"/>
      <c r="M17" s="47"/>
      <c r="N17" s="58"/>
      <c r="O17" s="49"/>
      <c r="P17" s="58"/>
      <c r="Q17" s="59"/>
    </row>
    <row r="18" spans="1:17" ht="26.4" x14ac:dyDescent="0.3">
      <c r="A18" s="27" t="s">
        <v>37</v>
      </c>
      <c r="B18" s="86" t="s">
        <v>117</v>
      </c>
      <c r="C18" s="86" t="s">
        <v>33</v>
      </c>
      <c r="D18" s="86">
        <f>D9</f>
        <v>1</v>
      </c>
      <c r="E18" s="87" t="s">
        <v>34</v>
      </c>
      <c r="F18" s="86">
        <f>F9</f>
        <v>12</v>
      </c>
      <c r="G18" s="88" t="s">
        <v>22</v>
      </c>
      <c r="H18" s="85">
        <f>H9*0.678</f>
        <v>1356</v>
      </c>
      <c r="I18" s="60">
        <f t="shared" ref="I18:I19" si="2">H18*F18*D18</f>
        <v>16272</v>
      </c>
      <c r="K18" s="45"/>
      <c r="L18" s="57"/>
      <c r="M18" s="47"/>
      <c r="N18" s="58"/>
      <c r="O18" s="49"/>
      <c r="P18" s="58"/>
      <c r="Q18" s="59"/>
    </row>
    <row r="19" spans="1:17" ht="26.4" x14ac:dyDescent="0.3">
      <c r="A19" s="27" t="s">
        <v>38</v>
      </c>
      <c r="B19" s="86" t="s">
        <v>39</v>
      </c>
      <c r="C19" s="86" t="s">
        <v>33</v>
      </c>
      <c r="D19" s="86">
        <f>D11</f>
        <v>1</v>
      </c>
      <c r="E19" s="87" t="s">
        <v>34</v>
      </c>
      <c r="F19" s="86">
        <v>1</v>
      </c>
      <c r="G19" s="88" t="s">
        <v>22</v>
      </c>
      <c r="H19" s="85">
        <f>H11</f>
        <v>1000</v>
      </c>
      <c r="I19" s="60">
        <f t="shared" si="2"/>
        <v>1000</v>
      </c>
      <c r="K19" s="45"/>
      <c r="L19" s="57"/>
      <c r="M19" s="47"/>
      <c r="N19" s="58"/>
      <c r="O19" s="49"/>
      <c r="P19" s="58"/>
      <c r="Q19" s="59"/>
    </row>
    <row r="20" spans="1:17" x14ac:dyDescent="0.3">
      <c r="A20" s="35"/>
      <c r="B20" s="23"/>
      <c r="C20" s="23"/>
      <c r="D20" s="23"/>
      <c r="E20" s="23"/>
      <c r="F20" s="23"/>
      <c r="G20" s="23"/>
      <c r="H20" s="24"/>
      <c r="I20" s="25"/>
      <c r="K20" s="18"/>
      <c r="L20" s="26"/>
      <c r="Q20" s="19"/>
    </row>
    <row r="21" spans="1:17" x14ac:dyDescent="0.3">
      <c r="A21" s="4" t="s">
        <v>1</v>
      </c>
      <c r="B21" s="99" t="s">
        <v>2</v>
      </c>
      <c r="C21" s="100"/>
      <c r="D21" s="2" t="s">
        <v>3</v>
      </c>
      <c r="E21" s="2" t="s">
        <v>4</v>
      </c>
      <c r="F21" s="99" t="s">
        <v>5</v>
      </c>
      <c r="G21" s="101"/>
      <c r="H21" s="100"/>
      <c r="I21" s="2" t="s">
        <v>6</v>
      </c>
    </row>
    <row r="22" spans="1:17" x14ac:dyDescent="0.3">
      <c r="A22" s="5">
        <v>3</v>
      </c>
      <c r="B22" s="96" t="s">
        <v>40</v>
      </c>
      <c r="C22" s="96"/>
      <c r="D22" s="97"/>
      <c r="E22" s="3" t="s">
        <v>8</v>
      </c>
      <c r="F22" s="98" t="s">
        <v>9</v>
      </c>
      <c r="G22" s="96"/>
      <c r="H22" s="97"/>
      <c r="I22" s="8">
        <f>SUM(I24:I27)</f>
        <v>19680</v>
      </c>
    </row>
    <row r="23" spans="1:17" x14ac:dyDescent="0.3">
      <c r="A23" s="1" t="s">
        <v>1</v>
      </c>
      <c r="B23" s="1" t="s">
        <v>10</v>
      </c>
      <c r="C23" s="1" t="s">
        <v>11</v>
      </c>
      <c r="D23" s="1" t="s">
        <v>3</v>
      </c>
      <c r="E23" s="1" t="s">
        <v>12</v>
      </c>
      <c r="F23" s="1" t="s">
        <v>4</v>
      </c>
      <c r="G23" s="1" t="s">
        <v>12</v>
      </c>
      <c r="H23" s="1" t="s">
        <v>13</v>
      </c>
      <c r="I23" s="1" t="s">
        <v>6</v>
      </c>
      <c r="K23" s="10" t="s">
        <v>14</v>
      </c>
      <c r="L23" s="10" t="s">
        <v>15</v>
      </c>
      <c r="M23" s="10" t="s">
        <v>16</v>
      </c>
      <c r="N23" s="10" t="s">
        <v>15</v>
      </c>
      <c r="O23" s="10" t="s">
        <v>17</v>
      </c>
      <c r="P23" s="10" t="s">
        <v>15</v>
      </c>
      <c r="Q23" s="10" t="s">
        <v>18</v>
      </c>
    </row>
    <row r="24" spans="1:17" s="7" customFormat="1" ht="66" x14ac:dyDescent="0.3">
      <c r="A24" s="27" t="s">
        <v>41</v>
      </c>
      <c r="B24" s="86" t="s">
        <v>42</v>
      </c>
      <c r="C24" s="86" t="s">
        <v>110</v>
      </c>
      <c r="D24" s="86">
        <f>120*2</f>
        <v>240</v>
      </c>
      <c r="E24" s="87" t="s">
        <v>12</v>
      </c>
      <c r="F24" s="86">
        <v>1</v>
      </c>
      <c r="G24" s="88" t="s">
        <v>43</v>
      </c>
      <c r="H24" s="85">
        <v>50</v>
      </c>
      <c r="I24" s="60">
        <f>D24*F24*H24</f>
        <v>12000</v>
      </c>
      <c r="K24" s="69" t="s">
        <v>44</v>
      </c>
      <c r="L24" s="70">
        <v>123.14</v>
      </c>
      <c r="M24" s="61"/>
      <c r="N24" s="62"/>
      <c r="O24" s="63"/>
      <c r="P24" s="62"/>
      <c r="Q24" s="28">
        <f t="shared" ref="Q24:Q27" si="3">AVERAGE(L24,N24,P24)</f>
        <v>123.14</v>
      </c>
    </row>
    <row r="25" spans="1:17" s="7" customFormat="1" ht="66" x14ac:dyDescent="0.3">
      <c r="A25" s="27" t="s">
        <v>45</v>
      </c>
      <c r="B25" s="86" t="s">
        <v>46</v>
      </c>
      <c r="C25" s="86" t="s">
        <v>47</v>
      </c>
      <c r="D25" s="86">
        <v>120</v>
      </c>
      <c r="E25" s="87" t="s">
        <v>12</v>
      </c>
      <c r="F25" s="86">
        <v>1</v>
      </c>
      <c r="G25" s="88" t="s">
        <v>43</v>
      </c>
      <c r="H25" s="89">
        <v>41</v>
      </c>
      <c r="I25" s="60">
        <f t="shared" ref="I25:I27" si="4">D25*F25*H25</f>
        <v>4920</v>
      </c>
      <c r="K25" s="71" t="s">
        <v>48</v>
      </c>
      <c r="L25" s="80">
        <v>41</v>
      </c>
      <c r="M25" s="61"/>
      <c r="N25" s="62"/>
      <c r="O25" s="63"/>
      <c r="P25" s="62"/>
      <c r="Q25" s="28">
        <f t="shared" si="3"/>
        <v>41</v>
      </c>
    </row>
    <row r="26" spans="1:17" s="7" customFormat="1" ht="224.4" x14ac:dyDescent="0.3">
      <c r="A26" s="87" t="s">
        <v>49</v>
      </c>
      <c r="B26" s="86" t="s">
        <v>50</v>
      </c>
      <c r="C26" s="86" t="s">
        <v>51</v>
      </c>
      <c r="D26" s="86">
        <v>60</v>
      </c>
      <c r="E26" s="87" t="s">
        <v>12</v>
      </c>
      <c r="F26" s="86">
        <v>1</v>
      </c>
      <c r="G26" s="88" t="s">
        <v>43</v>
      </c>
      <c r="H26" s="85">
        <v>16</v>
      </c>
      <c r="I26" s="60">
        <f t="shared" si="4"/>
        <v>960</v>
      </c>
      <c r="K26" s="71" t="s">
        <v>52</v>
      </c>
      <c r="L26" s="81">
        <v>16</v>
      </c>
      <c r="M26" s="61"/>
      <c r="N26" s="62"/>
      <c r="O26" s="63"/>
      <c r="P26" s="62"/>
      <c r="Q26" s="28">
        <f t="shared" si="3"/>
        <v>16</v>
      </c>
    </row>
    <row r="27" spans="1:17" s="7" customFormat="1" ht="224.4" x14ac:dyDescent="0.3">
      <c r="A27" s="27" t="s">
        <v>53</v>
      </c>
      <c r="B27" s="86" t="s">
        <v>54</v>
      </c>
      <c r="C27" s="86" t="s">
        <v>55</v>
      </c>
      <c r="D27" s="86">
        <v>120</v>
      </c>
      <c r="E27" s="87" t="s">
        <v>12</v>
      </c>
      <c r="F27" s="86">
        <v>1</v>
      </c>
      <c r="G27" s="88" t="s">
        <v>43</v>
      </c>
      <c r="H27" s="85">
        <v>15</v>
      </c>
      <c r="I27" s="60">
        <f t="shared" si="4"/>
        <v>1800</v>
      </c>
      <c r="K27" s="76" t="s">
        <v>56</v>
      </c>
      <c r="L27" s="77">
        <v>35.57</v>
      </c>
      <c r="M27" s="75"/>
      <c r="N27" s="62"/>
      <c r="O27" s="63"/>
      <c r="P27" s="62"/>
      <c r="Q27" s="28">
        <f t="shared" si="3"/>
        <v>35.57</v>
      </c>
    </row>
    <row r="28" spans="1:17" ht="16.2" customHeight="1" x14ac:dyDescent="0.3">
      <c r="A28" s="23"/>
      <c r="B28" s="23"/>
      <c r="C28" s="23"/>
      <c r="D28" s="23"/>
      <c r="E28" s="23"/>
      <c r="F28" s="23"/>
      <c r="G28" s="23"/>
      <c r="H28" s="24"/>
      <c r="I28" s="25"/>
      <c r="K28" s="18"/>
      <c r="L28" s="26"/>
      <c r="Q28" s="19"/>
    </row>
    <row r="29" spans="1:17" x14ac:dyDescent="0.3">
      <c r="A29" s="4" t="s">
        <v>1</v>
      </c>
      <c r="B29" s="99" t="s">
        <v>2</v>
      </c>
      <c r="C29" s="100"/>
      <c r="D29" s="2" t="s">
        <v>3</v>
      </c>
      <c r="E29" s="2" t="s">
        <v>4</v>
      </c>
      <c r="F29" s="99" t="s">
        <v>5</v>
      </c>
      <c r="G29" s="101"/>
      <c r="H29" s="100"/>
      <c r="I29" s="2" t="s">
        <v>6</v>
      </c>
    </row>
    <row r="30" spans="1:17" x14ac:dyDescent="0.3">
      <c r="A30" s="5">
        <v>4</v>
      </c>
      <c r="B30" s="96" t="s">
        <v>57</v>
      </c>
      <c r="C30" s="96"/>
      <c r="D30" s="97"/>
      <c r="E30" s="3" t="s">
        <v>8</v>
      </c>
      <c r="F30" s="98" t="s">
        <v>9</v>
      </c>
      <c r="G30" s="96"/>
      <c r="H30" s="97"/>
      <c r="I30" s="8">
        <f>SUM(I32:I32)</f>
        <v>133920</v>
      </c>
    </row>
    <row r="31" spans="1:17" x14ac:dyDescent="0.3">
      <c r="A31" s="1" t="s">
        <v>1</v>
      </c>
      <c r="B31" s="1" t="s">
        <v>10</v>
      </c>
      <c r="C31" s="1" t="s">
        <v>11</v>
      </c>
      <c r="D31" s="1" t="s">
        <v>3</v>
      </c>
      <c r="E31" s="1" t="s">
        <v>12</v>
      </c>
      <c r="F31" s="1" t="s">
        <v>4</v>
      </c>
      <c r="G31" s="1" t="s">
        <v>12</v>
      </c>
      <c r="H31" s="1" t="s">
        <v>13</v>
      </c>
      <c r="I31" s="1" t="s">
        <v>6</v>
      </c>
      <c r="K31" s="10" t="s">
        <v>14</v>
      </c>
      <c r="L31" s="10" t="s">
        <v>15</v>
      </c>
      <c r="M31" s="10" t="s">
        <v>16</v>
      </c>
      <c r="N31" s="10" t="s">
        <v>15</v>
      </c>
      <c r="O31" s="10" t="s">
        <v>17</v>
      </c>
      <c r="P31" s="10" t="s">
        <v>15</v>
      </c>
      <c r="Q31" s="10" t="s">
        <v>18</v>
      </c>
    </row>
    <row r="32" spans="1:17" ht="52.8" x14ac:dyDescent="0.3">
      <c r="A32" s="27" t="s">
        <v>58</v>
      </c>
      <c r="B32" s="20" t="s">
        <v>59</v>
      </c>
      <c r="C32" s="22" t="s">
        <v>60</v>
      </c>
      <c r="D32" s="20">
        <f>120*3*4</f>
        <v>1440</v>
      </c>
      <c r="E32" s="27" t="s">
        <v>12</v>
      </c>
      <c r="F32" s="20">
        <v>12</v>
      </c>
      <c r="G32" s="21" t="s">
        <v>22</v>
      </c>
      <c r="H32" s="36">
        <v>7.75</v>
      </c>
      <c r="I32" s="37">
        <f>D32*F32*H32</f>
        <v>133920</v>
      </c>
      <c r="K32" s="72" t="s">
        <v>115</v>
      </c>
      <c r="L32" s="73">
        <v>20.12</v>
      </c>
      <c r="M32" s="11"/>
      <c r="N32" s="33"/>
      <c r="O32" s="16"/>
      <c r="P32" s="33"/>
      <c r="Q32" s="28">
        <f t="shared" ref="Q32" si="5">AVERAGE(L32,N32,P32)</f>
        <v>20.12</v>
      </c>
    </row>
    <row r="33" spans="1:17" x14ac:dyDescent="0.3">
      <c r="A33" s="23"/>
      <c r="B33" s="23"/>
      <c r="C33" s="23"/>
      <c r="D33" s="23"/>
      <c r="E33" s="23"/>
      <c r="F33" s="23"/>
      <c r="G33" s="23"/>
      <c r="H33" s="24"/>
      <c r="I33" s="25"/>
      <c r="K33" s="18"/>
      <c r="L33" s="26"/>
      <c r="Q33" s="19"/>
    </row>
    <row r="34" spans="1:17" x14ac:dyDescent="0.3">
      <c r="A34" s="4" t="s">
        <v>1</v>
      </c>
      <c r="B34" s="99" t="s">
        <v>2</v>
      </c>
      <c r="C34" s="100"/>
      <c r="D34" s="2" t="s">
        <v>3</v>
      </c>
      <c r="E34" s="2" t="s">
        <v>4</v>
      </c>
      <c r="F34" s="99" t="s">
        <v>5</v>
      </c>
      <c r="G34" s="101"/>
      <c r="H34" s="100"/>
      <c r="I34" s="2" t="s">
        <v>6</v>
      </c>
    </row>
    <row r="35" spans="1:17" x14ac:dyDescent="0.3">
      <c r="A35" s="5">
        <v>5</v>
      </c>
      <c r="B35" s="96" t="s">
        <v>61</v>
      </c>
      <c r="C35" s="96"/>
      <c r="D35" s="97"/>
      <c r="E35" s="3" t="s">
        <v>8</v>
      </c>
      <c r="F35" s="98" t="s">
        <v>9</v>
      </c>
      <c r="G35" s="96"/>
      <c r="H35" s="97"/>
      <c r="I35" s="8">
        <f>SUM(I37:I41)</f>
        <v>12261</v>
      </c>
    </row>
    <row r="36" spans="1:17" x14ac:dyDescent="0.3">
      <c r="A36" s="1" t="s">
        <v>1</v>
      </c>
      <c r="B36" s="1" t="s">
        <v>10</v>
      </c>
      <c r="C36" s="1" t="s">
        <v>11</v>
      </c>
      <c r="D36" s="1" t="s">
        <v>3</v>
      </c>
      <c r="E36" s="1" t="s">
        <v>12</v>
      </c>
      <c r="F36" s="1" t="s">
        <v>4</v>
      </c>
      <c r="G36" s="1" t="s">
        <v>12</v>
      </c>
      <c r="H36" s="1" t="s">
        <v>13</v>
      </c>
      <c r="I36" s="1" t="s">
        <v>6</v>
      </c>
      <c r="K36" s="10" t="s">
        <v>14</v>
      </c>
      <c r="L36" s="10" t="s">
        <v>15</v>
      </c>
      <c r="M36" s="10" t="s">
        <v>16</v>
      </c>
      <c r="N36" s="10" t="s">
        <v>15</v>
      </c>
      <c r="O36" s="10" t="s">
        <v>17</v>
      </c>
      <c r="P36" s="10" t="s">
        <v>15</v>
      </c>
      <c r="Q36" s="10" t="s">
        <v>18</v>
      </c>
    </row>
    <row r="37" spans="1:17" ht="132" x14ac:dyDescent="0.3">
      <c r="A37" s="90" t="s">
        <v>62</v>
      </c>
      <c r="B37" s="91" t="s">
        <v>63</v>
      </c>
      <c r="C37" s="91" t="s">
        <v>64</v>
      </c>
      <c r="D37" s="91">
        <v>90</v>
      </c>
      <c r="E37" s="90" t="s">
        <v>12</v>
      </c>
      <c r="F37" s="91">
        <v>1</v>
      </c>
      <c r="G37" s="92" t="s">
        <v>43</v>
      </c>
      <c r="H37" s="93">
        <v>93</v>
      </c>
      <c r="I37" s="94">
        <f>D37*F37*H37</f>
        <v>8370</v>
      </c>
      <c r="K37" s="76" t="s">
        <v>65</v>
      </c>
      <c r="L37" s="32">
        <v>119.99</v>
      </c>
      <c r="M37" s="11"/>
      <c r="N37" s="33"/>
      <c r="O37" s="16"/>
      <c r="P37" s="33"/>
      <c r="Q37" s="28">
        <f t="shared" ref="Q37:Q41" si="6">AVERAGE(L37,N37,P37)</f>
        <v>119.99</v>
      </c>
    </row>
    <row r="38" spans="1:17" ht="52.8" x14ac:dyDescent="0.3">
      <c r="A38" s="87" t="s">
        <v>66</v>
      </c>
      <c r="B38" s="86" t="s">
        <v>67</v>
      </c>
      <c r="C38" s="86" t="s">
        <v>68</v>
      </c>
      <c r="D38" s="86">
        <v>10</v>
      </c>
      <c r="E38" s="87" t="s">
        <v>12</v>
      </c>
      <c r="F38" s="86">
        <v>1</v>
      </c>
      <c r="G38" s="88" t="s">
        <v>43</v>
      </c>
      <c r="H38" s="85">
        <v>222</v>
      </c>
      <c r="I38" s="60">
        <f t="shared" ref="I38:I41" si="7">D38*F38*H38</f>
        <v>2220</v>
      </c>
      <c r="K38" s="76" t="s">
        <v>69</v>
      </c>
      <c r="L38" s="32">
        <v>222.51666700000001</v>
      </c>
      <c r="M38" s="11"/>
      <c r="N38" s="33"/>
      <c r="O38" s="16"/>
      <c r="P38" s="33"/>
      <c r="Q38" s="28">
        <f t="shared" si="6"/>
        <v>222.51666700000001</v>
      </c>
    </row>
    <row r="39" spans="1:17" ht="66" x14ac:dyDescent="0.3">
      <c r="A39" s="87" t="s">
        <v>70</v>
      </c>
      <c r="B39" s="86" t="s">
        <v>71</v>
      </c>
      <c r="C39" s="86" t="s">
        <v>72</v>
      </c>
      <c r="D39" s="86">
        <v>10</v>
      </c>
      <c r="E39" s="87" t="s">
        <v>12</v>
      </c>
      <c r="F39" s="86">
        <v>1</v>
      </c>
      <c r="G39" s="88" t="s">
        <v>43</v>
      </c>
      <c r="H39" s="85">
        <v>90</v>
      </c>
      <c r="I39" s="60">
        <f t="shared" si="7"/>
        <v>900</v>
      </c>
      <c r="K39" s="76" t="s">
        <v>73</v>
      </c>
      <c r="L39" s="78">
        <v>90.6</v>
      </c>
      <c r="M39" s="11"/>
      <c r="N39" s="33"/>
      <c r="O39" s="16"/>
      <c r="P39" s="33"/>
      <c r="Q39" s="28">
        <f t="shared" si="6"/>
        <v>90.6</v>
      </c>
    </row>
    <row r="40" spans="1:17" ht="145.19999999999999" x14ac:dyDescent="0.3">
      <c r="A40" s="87" t="s">
        <v>74</v>
      </c>
      <c r="B40" s="86" t="s">
        <v>75</v>
      </c>
      <c r="C40" s="86" t="s">
        <v>76</v>
      </c>
      <c r="D40" s="86">
        <v>3</v>
      </c>
      <c r="E40" s="87" t="s">
        <v>12</v>
      </c>
      <c r="F40" s="86">
        <v>1</v>
      </c>
      <c r="G40" s="88" t="s">
        <v>43</v>
      </c>
      <c r="H40" s="85">
        <v>121</v>
      </c>
      <c r="I40" s="60">
        <f t="shared" si="7"/>
        <v>363</v>
      </c>
      <c r="K40" s="76" t="s">
        <v>77</v>
      </c>
      <c r="L40" s="78">
        <v>121.09</v>
      </c>
      <c r="M40" s="11"/>
      <c r="N40" s="33"/>
      <c r="O40" s="16"/>
      <c r="P40" s="32"/>
      <c r="Q40" s="28">
        <f t="shared" si="6"/>
        <v>121.09</v>
      </c>
    </row>
    <row r="41" spans="1:17" ht="66" x14ac:dyDescent="0.3">
      <c r="A41" s="87" t="s">
        <v>78</v>
      </c>
      <c r="B41" s="86" t="s">
        <v>79</v>
      </c>
      <c r="C41" s="86" t="s">
        <v>80</v>
      </c>
      <c r="D41" s="86">
        <v>2</v>
      </c>
      <c r="E41" s="86" t="s">
        <v>81</v>
      </c>
      <c r="F41" s="86">
        <v>1</v>
      </c>
      <c r="G41" s="86" t="s">
        <v>43</v>
      </c>
      <c r="H41" s="85">
        <v>204</v>
      </c>
      <c r="I41" s="60">
        <f t="shared" si="7"/>
        <v>408</v>
      </c>
      <c r="K41" s="76" t="s">
        <v>82</v>
      </c>
      <c r="L41" s="78">
        <v>410.01</v>
      </c>
      <c r="M41" s="11"/>
      <c r="N41" s="33"/>
      <c r="O41" s="16"/>
      <c r="P41" s="32"/>
      <c r="Q41" s="28">
        <f t="shared" si="6"/>
        <v>410.01</v>
      </c>
    </row>
    <row r="42" spans="1:17" x14ac:dyDescent="0.3">
      <c r="A42" s="51"/>
      <c r="B42" s="39"/>
      <c r="C42" s="40"/>
      <c r="D42" s="40"/>
      <c r="E42" s="41"/>
      <c r="F42" s="40"/>
      <c r="G42" s="42"/>
      <c r="H42" s="43"/>
      <c r="I42" s="44"/>
      <c r="K42" s="45"/>
      <c r="L42" s="46"/>
      <c r="M42" s="47"/>
      <c r="N42" s="48"/>
      <c r="O42" s="49"/>
      <c r="P42" s="48"/>
      <c r="Q42" s="50"/>
    </row>
    <row r="43" spans="1:17" x14ac:dyDescent="0.3">
      <c r="A43" s="4" t="s">
        <v>1</v>
      </c>
      <c r="B43" s="99" t="s">
        <v>2</v>
      </c>
      <c r="C43" s="100"/>
      <c r="D43" s="2" t="s">
        <v>3</v>
      </c>
      <c r="E43" s="2" t="s">
        <v>4</v>
      </c>
      <c r="F43" s="99" t="s">
        <v>5</v>
      </c>
      <c r="G43" s="101"/>
      <c r="H43" s="100"/>
      <c r="I43" s="2" t="s">
        <v>6</v>
      </c>
    </row>
    <row r="44" spans="1:17" x14ac:dyDescent="0.3">
      <c r="A44" s="5">
        <v>6</v>
      </c>
      <c r="B44" s="96" t="s">
        <v>83</v>
      </c>
      <c r="C44" s="96"/>
      <c r="D44" s="97"/>
      <c r="E44" s="3" t="s">
        <v>8</v>
      </c>
      <c r="F44" s="98" t="s">
        <v>9</v>
      </c>
      <c r="G44" s="96"/>
      <c r="H44" s="97"/>
      <c r="I44" s="8">
        <f>SUM(I46:I46)</f>
        <v>14400</v>
      </c>
    </row>
    <row r="45" spans="1:17" x14ac:dyDescent="0.3">
      <c r="A45" s="1" t="s">
        <v>1</v>
      </c>
      <c r="B45" s="1" t="s">
        <v>10</v>
      </c>
      <c r="C45" s="1" t="s">
        <v>11</v>
      </c>
      <c r="D45" s="1" t="s">
        <v>3</v>
      </c>
      <c r="E45" s="1" t="s">
        <v>12</v>
      </c>
      <c r="F45" s="1" t="s">
        <v>4</v>
      </c>
      <c r="G45" s="1" t="s">
        <v>12</v>
      </c>
      <c r="H45" s="1" t="s">
        <v>13</v>
      </c>
      <c r="I45" s="1" t="s">
        <v>6</v>
      </c>
      <c r="K45" s="10" t="s">
        <v>14</v>
      </c>
      <c r="L45" s="10" t="s">
        <v>15</v>
      </c>
      <c r="M45" s="10" t="s">
        <v>16</v>
      </c>
      <c r="N45" s="10" t="s">
        <v>15</v>
      </c>
      <c r="O45" s="10" t="s">
        <v>17</v>
      </c>
      <c r="P45" s="10" t="s">
        <v>15</v>
      </c>
      <c r="Q45" s="10" t="s">
        <v>18</v>
      </c>
    </row>
    <row r="46" spans="1:17" ht="39.6" x14ac:dyDescent="0.3">
      <c r="A46" s="87" t="s">
        <v>84</v>
      </c>
      <c r="B46" s="86" t="s">
        <v>85</v>
      </c>
      <c r="C46" s="86" t="s">
        <v>86</v>
      </c>
      <c r="D46" s="86">
        <v>120</v>
      </c>
      <c r="E46" s="87" t="s">
        <v>12</v>
      </c>
      <c r="F46" s="86">
        <v>12</v>
      </c>
      <c r="G46" s="88" t="s">
        <v>22</v>
      </c>
      <c r="H46" s="85">
        <v>10</v>
      </c>
      <c r="I46" s="60">
        <f>D46*F46*H46</f>
        <v>14400</v>
      </c>
      <c r="K46" s="12" t="s">
        <v>87</v>
      </c>
      <c r="L46" s="32">
        <v>17.27</v>
      </c>
      <c r="M46" s="11"/>
      <c r="N46" s="33"/>
      <c r="O46" s="16"/>
      <c r="P46" s="33"/>
      <c r="Q46" s="28">
        <f t="shared" ref="Q46" si="8">AVERAGE(L46,N46,P46)</f>
        <v>17.27</v>
      </c>
    </row>
    <row r="47" spans="1:17" x14ac:dyDescent="0.3">
      <c r="A47" s="51"/>
      <c r="B47" s="39"/>
      <c r="C47" s="40"/>
      <c r="D47" s="40"/>
      <c r="E47" s="41"/>
      <c r="F47" s="40"/>
      <c r="G47" s="42"/>
      <c r="H47" s="43"/>
      <c r="I47" s="44"/>
      <c r="K47" s="45"/>
      <c r="L47" s="46"/>
      <c r="M47" s="47"/>
      <c r="N47" s="48"/>
      <c r="O47" s="49"/>
      <c r="P47" s="48"/>
      <c r="Q47" s="50"/>
    </row>
    <row r="48" spans="1:17" x14ac:dyDescent="0.3">
      <c r="A48" s="51"/>
      <c r="B48" s="39"/>
      <c r="C48" s="40"/>
      <c r="D48" s="40"/>
      <c r="E48" s="41"/>
      <c r="F48" s="40"/>
      <c r="G48" s="42"/>
      <c r="H48" s="43"/>
      <c r="I48" s="44"/>
      <c r="K48" s="45"/>
      <c r="L48" s="46"/>
      <c r="M48" s="47"/>
      <c r="N48" s="48"/>
      <c r="O48" s="49"/>
      <c r="P48" s="48"/>
      <c r="Q48" s="50"/>
    </row>
    <row r="49" spans="1:17" x14ac:dyDescent="0.3">
      <c r="A49" s="51"/>
      <c r="B49" s="39"/>
      <c r="C49" s="40"/>
      <c r="D49" s="40"/>
      <c r="E49" s="41"/>
      <c r="F49" s="40"/>
      <c r="G49" s="42"/>
      <c r="H49" s="43"/>
      <c r="I49" s="44"/>
      <c r="K49" s="45"/>
      <c r="L49" s="46"/>
      <c r="M49" s="47"/>
      <c r="N49" s="48"/>
      <c r="O49" s="49"/>
      <c r="P49" s="48"/>
      <c r="Q49" s="50"/>
    </row>
    <row r="50" spans="1:17" ht="14.4" customHeight="1" x14ac:dyDescent="0.3">
      <c r="A50" s="110" t="s">
        <v>88</v>
      </c>
      <c r="B50" s="111"/>
      <c r="C50" s="111"/>
      <c r="D50" s="111"/>
      <c r="E50" s="111"/>
      <c r="F50" s="111"/>
      <c r="G50" s="111"/>
      <c r="H50" s="111"/>
      <c r="I50" s="13">
        <f>SUM(I4,I14,I22,I30,I35,I44)</f>
        <v>479029</v>
      </c>
    </row>
    <row r="52" spans="1:17" x14ac:dyDescent="0.3">
      <c r="A52" s="102" t="s">
        <v>89</v>
      </c>
      <c r="B52" s="103"/>
      <c r="C52" s="103"/>
      <c r="D52" s="103"/>
      <c r="E52" s="103"/>
      <c r="F52" s="103"/>
      <c r="G52" s="103"/>
      <c r="H52" s="103"/>
      <c r="I52" s="104"/>
    </row>
    <row r="53" spans="1:17" x14ac:dyDescent="0.3">
      <c r="A53" s="105"/>
      <c r="B53" s="106"/>
      <c r="C53" s="106"/>
      <c r="D53" s="106"/>
      <c r="E53" s="106"/>
      <c r="F53" s="106"/>
      <c r="G53" s="106"/>
      <c r="H53" s="106"/>
      <c r="I53" s="107"/>
    </row>
    <row r="55" spans="1:17" x14ac:dyDescent="0.3">
      <c r="A55" s="4" t="s">
        <v>1</v>
      </c>
      <c r="B55" s="99" t="s">
        <v>2</v>
      </c>
      <c r="C55" s="100"/>
      <c r="D55" s="2" t="s">
        <v>3</v>
      </c>
      <c r="E55" s="2" t="s">
        <v>4</v>
      </c>
      <c r="F55" s="99" t="s">
        <v>5</v>
      </c>
      <c r="G55" s="101"/>
      <c r="H55" s="100"/>
      <c r="I55" s="2" t="s">
        <v>6</v>
      </c>
    </row>
    <row r="56" spans="1:17" x14ac:dyDescent="0.3">
      <c r="A56" s="5">
        <v>1</v>
      </c>
      <c r="B56" s="96" t="s">
        <v>90</v>
      </c>
      <c r="C56" s="96"/>
      <c r="D56" s="97"/>
      <c r="E56" s="3" t="s">
        <v>8</v>
      </c>
      <c r="F56" s="98" t="s">
        <v>9</v>
      </c>
      <c r="G56" s="96"/>
      <c r="H56" s="97"/>
      <c r="I56" s="29">
        <f>SUM(I58:I60)</f>
        <v>60600</v>
      </c>
    </row>
    <row r="57" spans="1:17" x14ac:dyDescent="0.3">
      <c r="A57" s="1" t="s">
        <v>1</v>
      </c>
      <c r="B57" s="1" t="s">
        <v>10</v>
      </c>
      <c r="C57" s="1" t="s">
        <v>11</v>
      </c>
      <c r="D57" s="1" t="s">
        <v>3</v>
      </c>
      <c r="E57" s="1" t="s">
        <v>12</v>
      </c>
      <c r="F57" s="1" t="s">
        <v>4</v>
      </c>
      <c r="G57" s="1" t="s">
        <v>12</v>
      </c>
      <c r="H57" s="1" t="s">
        <v>13</v>
      </c>
      <c r="I57" s="1" t="s">
        <v>6</v>
      </c>
      <c r="K57" s="10" t="s">
        <v>14</v>
      </c>
      <c r="L57" s="10" t="s">
        <v>15</v>
      </c>
      <c r="M57" s="10" t="s">
        <v>16</v>
      </c>
      <c r="N57" s="10" t="s">
        <v>15</v>
      </c>
      <c r="O57" s="10" t="s">
        <v>17</v>
      </c>
      <c r="P57" s="10" t="s">
        <v>15</v>
      </c>
      <c r="Q57" s="10" t="s">
        <v>18</v>
      </c>
    </row>
    <row r="58" spans="1:17" ht="73.5" customHeight="1" x14ac:dyDescent="0.3">
      <c r="A58" s="27" t="s">
        <v>19</v>
      </c>
      <c r="B58" s="27" t="s">
        <v>91</v>
      </c>
      <c r="C58" s="27" t="s">
        <v>92</v>
      </c>
      <c r="D58" s="27">
        <v>1</v>
      </c>
      <c r="E58" s="35" t="s">
        <v>93</v>
      </c>
      <c r="F58" s="27">
        <v>12</v>
      </c>
      <c r="G58" s="35" t="s">
        <v>22</v>
      </c>
      <c r="H58" s="64">
        <v>850</v>
      </c>
      <c r="I58" s="65">
        <f>D58*F58*H58</f>
        <v>10200</v>
      </c>
      <c r="J58" s="7"/>
      <c r="K58" s="79" t="s">
        <v>94</v>
      </c>
      <c r="L58" s="67">
        <v>16388.82</v>
      </c>
      <c r="M58" s="9"/>
      <c r="N58" s="31"/>
      <c r="O58" s="9"/>
      <c r="P58" s="31"/>
      <c r="Q58" s="28">
        <f t="shared" ref="Q58:Q60" si="9">AVERAGE(L58,N58,P58)</f>
        <v>16388.82</v>
      </c>
    </row>
    <row r="59" spans="1:17" ht="52.8" x14ac:dyDescent="0.3">
      <c r="A59" s="35" t="s">
        <v>24</v>
      </c>
      <c r="B59" s="83" t="s">
        <v>111</v>
      </c>
      <c r="C59" s="35" t="s">
        <v>112</v>
      </c>
      <c r="D59" s="35">
        <v>1</v>
      </c>
      <c r="E59" s="35" t="s">
        <v>93</v>
      </c>
      <c r="F59" s="35">
        <v>12</v>
      </c>
      <c r="G59" s="35" t="s">
        <v>22</v>
      </c>
      <c r="H59" s="37">
        <v>200</v>
      </c>
      <c r="I59" s="65">
        <f>D59*F59*H59</f>
        <v>2400</v>
      </c>
      <c r="K59" s="84" t="s">
        <v>113</v>
      </c>
      <c r="L59" s="82">
        <v>2766.41</v>
      </c>
      <c r="M59" s="9"/>
      <c r="N59" s="31"/>
      <c r="O59" s="9"/>
      <c r="P59" s="31"/>
      <c r="Q59" s="28">
        <f t="shared" si="9"/>
        <v>2766.41</v>
      </c>
    </row>
    <row r="60" spans="1:17" ht="81.75" customHeight="1" x14ac:dyDescent="0.3">
      <c r="A60" s="27" t="s">
        <v>27</v>
      </c>
      <c r="B60" s="27" t="s">
        <v>95</v>
      </c>
      <c r="C60" s="35" t="s">
        <v>96</v>
      </c>
      <c r="D60" s="35">
        <v>1</v>
      </c>
      <c r="E60" s="35" t="s">
        <v>93</v>
      </c>
      <c r="F60" s="35">
        <v>12</v>
      </c>
      <c r="G60" s="35" t="s">
        <v>22</v>
      </c>
      <c r="H60" s="60">
        <v>4000</v>
      </c>
      <c r="I60" s="65">
        <f t="shared" ref="I60" si="10">D60*F60*H60</f>
        <v>48000</v>
      </c>
      <c r="J60" s="7"/>
      <c r="K60" s="12" t="s">
        <v>87</v>
      </c>
      <c r="L60" s="30">
        <v>20804.830000000002</v>
      </c>
      <c r="M60" s="9"/>
      <c r="N60" s="31"/>
      <c r="O60" s="9"/>
      <c r="P60" s="31"/>
      <c r="Q60" s="28">
        <f t="shared" si="9"/>
        <v>20804.830000000002</v>
      </c>
    </row>
    <row r="61" spans="1:17" x14ac:dyDescent="0.3">
      <c r="A61" s="51"/>
      <c r="B61" s="52"/>
      <c r="C61" s="52"/>
      <c r="D61" s="52"/>
      <c r="E61" s="52"/>
      <c r="F61" s="52"/>
      <c r="G61" s="52"/>
      <c r="H61" s="44"/>
      <c r="I61" s="53"/>
      <c r="J61" s="7"/>
      <c r="K61" s="18"/>
      <c r="L61" s="26"/>
      <c r="N61" s="54"/>
      <c r="P61" s="54"/>
      <c r="Q61" s="50"/>
    </row>
    <row r="62" spans="1:17" x14ac:dyDescent="0.3">
      <c r="A62" s="4" t="s">
        <v>1</v>
      </c>
      <c r="B62" s="99" t="s">
        <v>2</v>
      </c>
      <c r="C62" s="100"/>
      <c r="D62" s="2" t="s">
        <v>3</v>
      </c>
      <c r="E62" s="2" t="s">
        <v>4</v>
      </c>
      <c r="F62" s="99" t="s">
        <v>5</v>
      </c>
      <c r="G62" s="101"/>
      <c r="H62" s="100"/>
      <c r="I62" s="2" t="s">
        <v>6</v>
      </c>
    </row>
    <row r="63" spans="1:17" x14ac:dyDescent="0.3">
      <c r="A63" s="5">
        <v>2</v>
      </c>
      <c r="B63" s="96" t="s">
        <v>97</v>
      </c>
      <c r="C63" s="96"/>
      <c r="D63" s="97"/>
      <c r="E63" s="3" t="s">
        <v>8</v>
      </c>
      <c r="F63" s="98" t="s">
        <v>9</v>
      </c>
      <c r="G63" s="96"/>
      <c r="H63" s="97"/>
      <c r="I63" s="29">
        <f>SUM(I65:I66)</f>
        <v>1005</v>
      </c>
    </row>
    <row r="64" spans="1:17" x14ac:dyDescent="0.3">
      <c r="A64" s="1" t="s">
        <v>1</v>
      </c>
      <c r="B64" s="1" t="s">
        <v>10</v>
      </c>
      <c r="C64" s="1" t="s">
        <v>11</v>
      </c>
      <c r="D64" s="1" t="s">
        <v>3</v>
      </c>
      <c r="E64" s="1" t="s">
        <v>12</v>
      </c>
      <c r="F64" s="1" t="s">
        <v>4</v>
      </c>
      <c r="G64" s="1" t="s">
        <v>12</v>
      </c>
      <c r="H64" s="1" t="s">
        <v>13</v>
      </c>
      <c r="I64" s="1" t="s">
        <v>6</v>
      </c>
      <c r="K64" s="10" t="s">
        <v>14</v>
      </c>
      <c r="L64" s="10" t="s">
        <v>15</v>
      </c>
      <c r="M64" s="10" t="s">
        <v>16</v>
      </c>
      <c r="N64" s="10" t="s">
        <v>15</v>
      </c>
      <c r="O64" s="10" t="s">
        <v>17</v>
      </c>
      <c r="P64" s="10" t="s">
        <v>15</v>
      </c>
      <c r="Q64" s="10" t="s">
        <v>18</v>
      </c>
    </row>
    <row r="65" spans="1:17" ht="66" x14ac:dyDescent="0.3">
      <c r="A65" s="27" t="s">
        <v>32</v>
      </c>
      <c r="B65" s="27" t="s">
        <v>98</v>
      </c>
      <c r="C65" s="35" t="s">
        <v>99</v>
      </c>
      <c r="D65" s="35">
        <v>5</v>
      </c>
      <c r="E65" s="35" t="s">
        <v>12</v>
      </c>
      <c r="F65" s="35">
        <v>1</v>
      </c>
      <c r="G65" s="35" t="s">
        <v>43</v>
      </c>
      <c r="H65" s="37">
        <v>141</v>
      </c>
      <c r="I65" s="38">
        <f>H65*F65*D65</f>
        <v>705</v>
      </c>
      <c r="J65" s="7"/>
      <c r="K65" s="74" t="s">
        <v>100</v>
      </c>
      <c r="L65" s="30">
        <v>161</v>
      </c>
      <c r="M65" s="9"/>
      <c r="N65" s="31"/>
      <c r="O65" s="9"/>
      <c r="P65" s="31"/>
      <c r="Q65" s="28">
        <f t="shared" ref="Q65" si="11">AVERAGE(L65,N65,P65)</f>
        <v>161</v>
      </c>
    </row>
    <row r="66" spans="1:17" ht="100.5" customHeight="1" x14ac:dyDescent="0.3">
      <c r="A66" s="27" t="s">
        <v>35</v>
      </c>
      <c r="B66" s="27" t="s">
        <v>101</v>
      </c>
      <c r="C66" s="35" t="s">
        <v>102</v>
      </c>
      <c r="D66" s="35">
        <v>1</v>
      </c>
      <c r="E66" s="35" t="s">
        <v>103</v>
      </c>
      <c r="F66" s="35">
        <v>1</v>
      </c>
      <c r="G66" s="35" t="s">
        <v>104</v>
      </c>
      <c r="H66" s="37">
        <v>300</v>
      </c>
      <c r="I66" s="38">
        <f>H66*F66*D66</f>
        <v>300</v>
      </c>
      <c r="J66" s="7"/>
      <c r="K66" s="74" t="s">
        <v>105</v>
      </c>
      <c r="L66" s="30">
        <v>2040</v>
      </c>
      <c r="M66" s="9"/>
      <c r="N66" s="31"/>
      <c r="O66" s="9"/>
      <c r="P66" s="31"/>
      <c r="Q66" s="28">
        <f t="shared" ref="Q66" si="12">AVERAGE(L66,N66,P66)</f>
        <v>2040</v>
      </c>
    </row>
    <row r="67" spans="1:17" x14ac:dyDescent="0.3">
      <c r="A67" s="51"/>
      <c r="B67" s="52"/>
      <c r="C67" s="52"/>
      <c r="D67" s="52"/>
      <c r="E67" s="52"/>
      <c r="F67" s="52"/>
      <c r="G67" s="52"/>
      <c r="H67" s="44"/>
      <c r="I67" s="53"/>
      <c r="J67" s="7"/>
      <c r="K67" s="18"/>
      <c r="L67" s="26"/>
      <c r="N67" s="54"/>
      <c r="P67" s="54"/>
      <c r="Q67" s="50"/>
    </row>
    <row r="68" spans="1:17" x14ac:dyDescent="0.3">
      <c r="A68" s="51"/>
      <c r="B68" s="52"/>
      <c r="C68" s="52"/>
      <c r="D68" s="52"/>
      <c r="E68" s="52"/>
      <c r="F68" s="52"/>
      <c r="G68" s="52"/>
      <c r="H68" s="44"/>
      <c r="I68" s="53"/>
      <c r="J68" s="7"/>
      <c r="L68" s="26"/>
      <c r="N68" s="54"/>
      <c r="P68" s="54"/>
      <c r="Q68" s="50"/>
    </row>
    <row r="69" spans="1:17" x14ac:dyDescent="0.3">
      <c r="A69" s="110" t="s">
        <v>106</v>
      </c>
      <c r="B69" s="111"/>
      <c r="C69" s="111"/>
      <c r="D69" s="111"/>
      <c r="E69" s="111"/>
      <c r="F69" s="111"/>
      <c r="G69" s="111"/>
      <c r="H69" s="111"/>
      <c r="I69" s="14">
        <f>SUM(I56,I63)</f>
        <v>61605</v>
      </c>
      <c r="J69" s="6">
        <f>I69/I50</f>
        <v>0.12860390498278809</v>
      </c>
    </row>
    <row r="70" spans="1:17" x14ac:dyDescent="0.3">
      <c r="A70" s="108" t="s">
        <v>107</v>
      </c>
      <c r="B70" s="109"/>
      <c r="C70" s="109"/>
      <c r="D70" s="109"/>
      <c r="E70" s="109"/>
      <c r="F70" s="109"/>
      <c r="G70" s="109"/>
      <c r="H70" s="109"/>
      <c r="I70" s="15">
        <f>I69+I50</f>
        <v>540634</v>
      </c>
    </row>
    <row r="71" spans="1:17" x14ac:dyDescent="0.3">
      <c r="A71" s="108" t="s">
        <v>108</v>
      </c>
      <c r="B71" s="109"/>
      <c r="C71" s="109"/>
      <c r="D71" s="109"/>
      <c r="E71" s="109"/>
      <c r="F71" s="109"/>
      <c r="G71" s="109"/>
      <c r="H71" s="109"/>
      <c r="I71" s="55">
        <f>IF((I70*7%)&gt;100000,100000,(I70*7%))</f>
        <v>37844.380000000005</v>
      </c>
      <c r="J71" s="6">
        <f>I71/I70</f>
        <v>7.0000000000000007E-2</v>
      </c>
      <c r="K71" s="17"/>
    </row>
    <row r="72" spans="1:17" x14ac:dyDescent="0.3">
      <c r="A72" s="108" t="s">
        <v>109</v>
      </c>
      <c r="B72" s="109"/>
      <c r="C72" s="109"/>
      <c r="D72" s="109"/>
      <c r="E72" s="109"/>
      <c r="F72" s="109"/>
      <c r="G72" s="109"/>
      <c r="H72" s="109"/>
      <c r="I72" s="15">
        <f>I70+I71</f>
        <v>578478.38</v>
      </c>
    </row>
  </sheetData>
  <sortState xmlns:xlrd2="http://schemas.microsoft.com/office/spreadsheetml/2017/richdata2" ref="A38:I41">
    <sortCondition ref="B37:B41"/>
  </sortState>
  <mergeCells count="39">
    <mergeCell ref="A71:H71"/>
    <mergeCell ref="A72:H72"/>
    <mergeCell ref="A69:H69"/>
    <mergeCell ref="A50:H50"/>
    <mergeCell ref="A52:I53"/>
    <mergeCell ref="A70:H70"/>
    <mergeCell ref="B56:D56"/>
    <mergeCell ref="F56:H56"/>
    <mergeCell ref="B63:D63"/>
    <mergeCell ref="F63:H63"/>
    <mergeCell ref="B55:C55"/>
    <mergeCell ref="F55:H55"/>
    <mergeCell ref="B62:C62"/>
    <mergeCell ref="F62:H62"/>
    <mergeCell ref="B21:C21"/>
    <mergeCell ref="F21:H21"/>
    <mergeCell ref="B13:C13"/>
    <mergeCell ref="F13:H13"/>
    <mergeCell ref="B14:D14"/>
    <mergeCell ref="F14:H14"/>
    <mergeCell ref="A1:I2"/>
    <mergeCell ref="F3:H3"/>
    <mergeCell ref="F4:H4"/>
    <mergeCell ref="B4:D4"/>
    <mergeCell ref="B3:C3"/>
    <mergeCell ref="B44:D44"/>
    <mergeCell ref="F44:H44"/>
    <mergeCell ref="B22:D22"/>
    <mergeCell ref="F22:H22"/>
    <mergeCell ref="B35:D35"/>
    <mergeCell ref="F35:H35"/>
    <mergeCell ref="B43:C43"/>
    <mergeCell ref="B34:C34"/>
    <mergeCell ref="F34:H34"/>
    <mergeCell ref="F43:H43"/>
    <mergeCell ref="B29:C29"/>
    <mergeCell ref="F29:H29"/>
    <mergeCell ref="B30:D30"/>
    <mergeCell ref="F30:H30"/>
  </mergeCells>
  <phoneticPr fontId="9" type="noConversion"/>
  <conditionalFormatting sqref="J69">
    <cfRule type="cellIs" dxfId="8" priority="7" operator="equal">
      <formula>0.15</formula>
    </cfRule>
    <cfRule type="cellIs" dxfId="7" priority="8" operator="lessThan">
      <formula>0.15</formula>
    </cfRule>
    <cfRule type="cellIs" dxfId="6" priority="9" operator="greaterThan">
      <formula>0.15</formula>
    </cfRule>
  </conditionalFormatting>
  <conditionalFormatting sqref="J71">
    <cfRule type="cellIs" dxfId="5" priority="1" operator="equal">
      <formula>0.07</formula>
    </cfRule>
    <cfRule type="cellIs" dxfId="4" priority="2" operator="lessThan">
      <formula>0.07</formula>
    </cfRule>
    <cfRule type="cellIs" dxfId="3" priority="4" operator="equal">
      <formula>0.15</formula>
    </cfRule>
    <cfRule type="cellIs" dxfId="2" priority="5" operator="lessThan">
      <formula>0.15</formula>
    </cfRule>
    <cfRule type="cellIs" dxfId="1" priority="6" operator="greaterThan">
      <formula>0.15</formula>
    </cfRule>
  </conditionalFormatting>
  <conditionalFormatting sqref="L73">
    <cfRule type="cellIs" dxfId="0" priority="3" operator="greaterThan">
      <formula>0.07</formula>
    </cfRule>
  </conditionalFormatting>
  <pageMargins left="0.511811024" right="0.511811024" top="0.78740157499999996" bottom="0.78740157499999996" header="0.31496062000000002" footer="0.31496062000000002"/>
  <pageSetup paperSize="9" scale="2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2525d2-44a7-4ff2-9b1a-d36f7a6906f2">
      <Terms xmlns="http://schemas.microsoft.com/office/infopath/2007/PartnerControls"/>
    </lcf76f155ced4ddcb4097134ff3c332f>
    <Revisada xmlns="612525d2-44a7-4ff2-9b1a-d36f7a6906f2">true</Revisada>
    <Cidade xmlns="612525d2-44a7-4ff2-9b1a-d36f7a6906f2" xsi:nil="true"/>
    <Avaliada xmlns="612525d2-44a7-4ff2-9b1a-d36f7a6906f2">true</Avaliada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B1D589A8FF36428202C6CAF9D11312" ma:contentTypeVersion="31" ma:contentTypeDescription="Crie um novo documento." ma:contentTypeScope="" ma:versionID="243e999b5598c79f0ce77629754796b0">
  <xsd:schema xmlns:xsd="http://www.w3.org/2001/XMLSchema" xmlns:xs="http://www.w3.org/2001/XMLSchema" xmlns:p="http://schemas.microsoft.com/office/2006/metadata/properties" xmlns:ns2="612525d2-44a7-4ff2-9b1a-d36f7a6906f2" targetNamespace="http://schemas.microsoft.com/office/2006/metadata/properties" ma:root="true" ma:fieldsID="81dc9def5d61ff3d4ecbdf0d4a885a5b" ns2:_="">
    <xsd:import namespace="612525d2-44a7-4ff2-9b1a-d36f7a6906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Avaliada"/>
                <xsd:element ref="ns2:Revisada" minOccurs="0"/>
                <xsd:element ref="ns2:Cidade" minOccurs="0"/>
                <xsd:element ref="ns2:CountryOrRegion67ae1be0-d742-4c37-a093-a19be4b2e6f7" minOccurs="0"/>
                <xsd:element ref="ns2:State67ae1be0-d742-4c37-a093-a19be4b2e6f7" minOccurs="0"/>
                <xsd:element ref="ns2:City67ae1be0-d742-4c37-a093-a19be4b2e6f7" minOccurs="0"/>
                <xsd:element ref="ns2:PostalCode67ae1be0-d742-4c37-a093-a19be4b2e6f7" minOccurs="0"/>
                <xsd:element ref="ns2:Street67ae1be0-d742-4c37-a093-a19be4b2e6f7" minOccurs="0"/>
                <xsd:element ref="ns2:GeoLoc67ae1be0-d742-4c37-a093-a19be4b2e6f7" minOccurs="0"/>
                <xsd:element ref="ns2:DispName67ae1be0-d742-4c37-a093-a19be4b2e6f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525d2-44a7-4ff2-9b1a-d36f7a6906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4e6a72c3-422d-4083-8401-7b3852ad68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Avaliada" ma:index="20" ma:displayName="Avaliada" ma:default="1" ma:description="Documentos das entidades que já passaram pela avaliação documental." ma:format="Dropdown" ma:internalName="Avaliada">
      <xsd:simpleType>
        <xsd:restriction base="dms:Boolean"/>
      </xsd:simpleType>
    </xsd:element>
    <xsd:element name="Revisada" ma:index="21" nillable="true" ma:displayName="Revisada" ma:default="1" ma:description="Documentos das entidades que já foram revisados após a avaliação documental." ma:format="Dropdown" ma:internalName="Revisada">
      <xsd:simpleType>
        <xsd:restriction base="dms:Boolean"/>
      </xsd:simpleType>
    </xsd:element>
    <xsd:element name="Cidade" ma:index="22" nillable="true" ma:displayName="Cidade " ma:description="Campo destinado à identificação da localidade da entidade." ma:format="Dropdown" ma:internalName="Cidade">
      <xsd:simpleType>
        <xsd:restriction base="dms:Unknown"/>
      </xsd:simpleType>
    </xsd:element>
    <xsd:element name="CountryOrRegion67ae1be0-d742-4c37-a093-a19be4b2e6f7" ma:index="23" nillable="true" ma:displayName="Cidade : País/Região" ma:internalName="CountryOrRegion" ma:readOnly="true">
      <xsd:simpleType>
        <xsd:restriction base="dms:Text"/>
      </xsd:simpleType>
    </xsd:element>
    <xsd:element name="State67ae1be0-d742-4c37-a093-a19be4b2e6f7" ma:index="24" nillable="true" ma:displayName="Cidade : Estado" ma:internalName="State" ma:readOnly="true">
      <xsd:simpleType>
        <xsd:restriction base="dms:Text"/>
      </xsd:simpleType>
    </xsd:element>
    <xsd:element name="City67ae1be0-d742-4c37-a093-a19be4b2e6f7" ma:index="25" nillable="true" ma:displayName="Cidade : Cidade" ma:description="" ma:indexed="true" ma:internalName="City" ma:readOnly="true">
      <xsd:simpleType>
        <xsd:restriction base="dms:Text"/>
      </xsd:simpleType>
    </xsd:element>
    <xsd:element name="PostalCode67ae1be0-d742-4c37-a093-a19be4b2e6f7" ma:index="26" nillable="true" ma:displayName="Cidade : CEP" ma:internalName="PostalCode" ma:readOnly="true">
      <xsd:simpleType>
        <xsd:restriction base="dms:Text"/>
      </xsd:simpleType>
    </xsd:element>
    <xsd:element name="Street67ae1be0-d742-4c37-a093-a19be4b2e6f7" ma:index="27" nillable="true" ma:displayName="Cidade : Rua" ma:internalName="Street" ma:readOnly="true">
      <xsd:simpleType>
        <xsd:restriction base="dms:Text"/>
      </xsd:simpleType>
    </xsd:element>
    <xsd:element name="GeoLoc67ae1be0-d742-4c37-a093-a19be4b2e6f7" ma:index="28" nillable="true" ma:displayName="Cidade : Coordenadas" ma:internalName="GeoLoc" ma:readOnly="true">
      <xsd:simpleType>
        <xsd:restriction base="dms:Unknown"/>
      </xsd:simpleType>
    </xsd:element>
    <xsd:element name="DispName67ae1be0-d742-4c37-a093-a19be4b2e6f7" ma:index="29" nillable="true" ma:displayName="Cidade : Nome" ma:internalName="DispNa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9770B6-DBF1-4CC4-85EE-3D6FA2C8C1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6EB27A-2DFA-4F52-A11F-24DD5F40D5F5}">
  <ds:schemaRefs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612525d2-44a7-4ff2-9b1a-d36f7a6906f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B660B08-FF59-4BD1-8A59-FCAF6F79F3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2525d2-44a7-4ff2-9b1a-d36f7a6906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Nova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X3M</dc:creator>
  <cp:keywords/>
  <dc:description/>
  <cp:lastModifiedBy>Karine Barcelos</cp:lastModifiedBy>
  <cp:revision/>
  <dcterms:created xsi:type="dcterms:W3CDTF">2013-05-20T19:25:05Z</dcterms:created>
  <dcterms:modified xsi:type="dcterms:W3CDTF">2026-04-09T18:36:25Z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0x010100B7B1D589A8FF36428202C6CAF9D11312</vt:lpwstr>
  </property>
  <property fmtid="{D5CDD505-2E9C-101B-9397-08002B2CF9AE}" pid="3" name="MediaServiceImageTags">
    <vt:lpwstr/>
  </property>
</Properties>
</file>