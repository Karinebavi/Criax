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1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trilhagestao.sharepoint.com/sites/IRJ02/Shared Documents/Clientes/CLUBE ITUANO DE ESPORTES/01-Projetos/01 - Esporte/01 - IR/2026.000000 - Ituano +Esportes/01 - Elaboração/1.2 - Previsão Orçamentária/"/>
    </mc:Choice>
  </mc:AlternateContent>
  <xr:revisionPtr revIDLastSave="501" documentId="13_ncr:1_{5BD8B1CD-E0F1-4235-8A6C-BA2F8D62083B}" xr6:coauthVersionLast="47" xr6:coauthVersionMax="47" xr10:uidLastSave="{A130F947-DBDD-45A5-B1C7-4FD2D575AF97}"/>
  <bookViews>
    <workbookView xWindow="-28920" yWindow="-120" windowWidth="29040" windowHeight="15720" xr2:uid="{00000000-000D-0000-FFFF-FFFF00000000}"/>
  </bookViews>
  <sheets>
    <sheet name="Plan Orçamentária" sheetId="5" r:id="rId1"/>
  </sheets>
  <definedNames>
    <definedName name="_xlnm.Print_Area" localSheetId="0">'Plan Orçamentária'!$A$1:$I$102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14" i="5" l="1"/>
  <c r="Q26" i="5"/>
  <c r="Q25" i="5"/>
  <c r="Q7" i="5"/>
  <c r="Q8" i="5"/>
  <c r="Q6" i="5"/>
  <c r="Q43" i="5"/>
  <c r="Q44" i="5"/>
  <c r="Q42" i="5"/>
  <c r="Q37" i="5"/>
  <c r="Q55" i="5"/>
  <c r="Q56" i="5"/>
  <c r="Q54" i="5"/>
  <c r="I91" i="5"/>
  <c r="I7" i="5" l="1"/>
  <c r="Q33" i="5" l="1"/>
  <c r="Q34" i="5"/>
  <c r="Q35" i="5"/>
  <c r="Q36" i="5"/>
  <c r="I33" i="5"/>
  <c r="Q38" i="5"/>
  <c r="Q39" i="5"/>
  <c r="Q40" i="5"/>
  <c r="Q41" i="5"/>
  <c r="I40" i="5"/>
  <c r="I41" i="5"/>
  <c r="I6" i="5"/>
  <c r="I36" i="5"/>
  <c r="I35" i="5"/>
  <c r="Q31" i="5"/>
  <c r="Q32" i="5"/>
  <c r="I42" i="5"/>
  <c r="Q23" i="5"/>
  <c r="I23" i="5"/>
  <c r="Q21" i="5"/>
  <c r="I21" i="5"/>
  <c r="Q24" i="5"/>
  <c r="I24" i="5"/>
  <c r="I31" i="5"/>
  <c r="I32" i="5"/>
  <c r="I34" i="5"/>
  <c r="Q82" i="5"/>
  <c r="Q81" i="5"/>
  <c r="I82" i="5"/>
  <c r="I81" i="5"/>
  <c r="Q80" i="5"/>
  <c r="I80" i="5"/>
  <c r="Q74" i="5"/>
  <c r="Q75" i="5"/>
  <c r="Q76" i="5"/>
  <c r="Q77" i="5"/>
  <c r="Q78" i="5"/>
  <c r="Q79" i="5"/>
  <c r="I79" i="5"/>
  <c r="Q67" i="5"/>
  <c r="I78" i="5"/>
  <c r="I77" i="5"/>
  <c r="I76" i="5"/>
  <c r="I75" i="5"/>
  <c r="I74" i="5"/>
  <c r="I14" i="5"/>
  <c r="I67" i="5"/>
  <c r="Q73" i="5"/>
  <c r="I73" i="5"/>
  <c r="I72" i="5"/>
  <c r="Q72" i="5"/>
  <c r="I70" i="5" l="1"/>
  <c r="I38" i="5" l="1"/>
  <c r="Q91" i="5" l="1"/>
  <c r="Q61" i="5"/>
  <c r="Q45" i="5"/>
  <c r="Q46" i="5"/>
  <c r="Q47" i="5"/>
  <c r="Q48" i="5"/>
  <c r="Q49" i="5"/>
  <c r="Q20" i="5"/>
  <c r="Q22" i="5"/>
  <c r="I39" i="5"/>
  <c r="I20" i="5"/>
  <c r="I49" i="5"/>
  <c r="I46" i="5"/>
  <c r="I47" i="5"/>
  <c r="I45" i="5"/>
  <c r="I54" i="5" l="1"/>
  <c r="I55" i="5"/>
  <c r="I56" i="5"/>
  <c r="I25" i="5"/>
  <c r="I22" i="5" l="1"/>
  <c r="I26" i="5"/>
  <c r="Q66" i="5" l="1"/>
  <c r="I66" i="5"/>
  <c r="I64" i="5" s="1"/>
  <c r="I43" i="5"/>
  <c r="I44" i="5"/>
  <c r="I61" i="5" l="1"/>
  <c r="I59" i="5" s="1"/>
  <c r="I37" i="5" l="1"/>
  <c r="I29" i="5" l="1"/>
  <c r="I48" i="5"/>
  <c r="Q13" i="5"/>
  <c r="I13" i="5"/>
  <c r="I11" i="5" s="1"/>
  <c r="Q19" i="5"/>
  <c r="I19" i="5"/>
  <c r="I17" i="5" s="1"/>
  <c r="I52" i="5" l="1"/>
  <c r="I8" i="5"/>
  <c r="I4" i="5" s="1"/>
  <c r="I84" i="5" l="1"/>
  <c r="I97" i="5"/>
  <c r="I95" i="5" s="1"/>
  <c r="I92" i="5"/>
  <c r="Q97" i="5"/>
  <c r="Q92" i="5"/>
  <c r="I89" i="5" l="1"/>
  <c r="I99" i="5" s="1"/>
  <c r="I106" i="5"/>
  <c r="I100" i="5" l="1"/>
  <c r="I101" i="5" s="1"/>
  <c r="J99" i="5"/>
  <c r="J101" i="5" l="1"/>
  <c r="I102" i="5" l="1"/>
  <c r="I105" i="5" s="1"/>
  <c r="J106" i="5" l="1"/>
</calcChain>
</file>

<file path=xl/sharedStrings.xml><?xml version="1.0" encoding="utf-8"?>
<sst xmlns="http://schemas.openxmlformats.org/spreadsheetml/2006/main" count="630" uniqueCount="247">
  <si>
    <t>ATIVIDADE FIM</t>
  </si>
  <si>
    <t>Nº</t>
  </si>
  <si>
    <t>Ações</t>
  </si>
  <si>
    <t>Quantidade</t>
  </si>
  <si>
    <t>Duração</t>
  </si>
  <si>
    <t>Fontes</t>
  </si>
  <si>
    <t>Total (R$)</t>
  </si>
  <si>
    <t xml:space="preserve">Recursos Humanos </t>
  </si>
  <si>
    <t>12 meses</t>
  </si>
  <si>
    <t>Pleito Efeito da Lei 11.438/06</t>
  </si>
  <si>
    <t>Detalhamento das Ações</t>
  </si>
  <si>
    <t>Resumo do Detalhamento</t>
  </si>
  <si>
    <t>Unidade</t>
  </si>
  <si>
    <t>Valor Unitário</t>
  </si>
  <si>
    <t>ORÇAMENTO 01</t>
  </si>
  <si>
    <t>VALOR</t>
  </si>
  <si>
    <t>ORÇAMENTO 02</t>
  </si>
  <si>
    <t>ORÇAMENTO 03</t>
  </si>
  <si>
    <t>MÉDIA</t>
  </si>
  <si>
    <t>1.1</t>
  </si>
  <si>
    <t>Diretor de Projeto</t>
  </si>
  <si>
    <t>Responsável por coordenar as atividades esportivas e orientar a equipe de trabalho. Distribuir, acompanhar e avaliar a execução das atividades, esclarecendo dúvidas e administrando recursos. MC: 1 Profissional x 12 meses de execução das atividades do projeto.</t>
  </si>
  <si>
    <t>Pessoa</t>
  </si>
  <si>
    <t>Mês</t>
  </si>
  <si>
    <t>Trabalha Brasil</t>
  </si>
  <si>
    <t>1.2</t>
  </si>
  <si>
    <t>Supervisor de Projeto</t>
  </si>
  <si>
    <t>Responsável por supervisionar as atividades esportivas e orientar a equipe de trabalho. Distribuir, acompanhar e avaliar a execução das atividades, esclarecendo dúvidas e administrando recursos. MC: 1 Profissional x 12 meses de execução das atividades do projeto.</t>
  </si>
  <si>
    <t>3E Engenharia</t>
  </si>
  <si>
    <t>Tecnoset</t>
  </si>
  <si>
    <t>Johnson &amp; Johnson</t>
  </si>
  <si>
    <t>1.3</t>
  </si>
  <si>
    <t>Treinador</t>
  </si>
  <si>
    <t>Profissional responsável por desenvolver as habilidades técnicas e táticas dos atletas, planejar e implementar programas de treinamento físico e mental, definir estratégias de jogo, gerenciar a equipe, motivar os jogadores e garantir um ambiente de desenvolvimento positivo. Será necessário 1 profissional para cada uma das modalidades do projeto = 9 profissionais x 12 meses.</t>
  </si>
  <si>
    <t xml:space="preserve"> Hospedagem e Alimentação</t>
  </si>
  <si>
    <t>2.1</t>
  </si>
  <si>
    <t>Alimentação - Atletas</t>
  </si>
  <si>
    <t>Fornecimento de refeições para atletas e comissão técnica durante deslocamentos e participação em competições das 9 modalidades previstas no projeto.  MC: (300 atletas + 9 Treinadores) = 309 atletas x 2 refeições x 05 dias de viagem = 3.090 unidades.</t>
  </si>
  <si>
    <t>Refeição</t>
  </si>
  <si>
    <t>Dia</t>
  </si>
  <si>
    <t>Painel de Preços</t>
  </si>
  <si>
    <t>2.2</t>
  </si>
  <si>
    <t>Hospedagem - Atletas</t>
  </si>
  <si>
    <t>Hospedagem dos atletas e comissão técnica durante competições das 9 modalidades previstas no projeto. MC: 150 pessoas x 5 diárias.</t>
  </si>
  <si>
    <t>Booking.com</t>
  </si>
  <si>
    <t>Hoteis.com</t>
  </si>
  <si>
    <t>Decolar</t>
  </si>
  <si>
    <t>Material de Consumo / Esportivo</t>
  </si>
  <si>
    <t>3.1</t>
  </si>
  <si>
    <t>Bola de Futsal</t>
  </si>
  <si>
    <t>Bola de Futsal para uso durante a realização das atividades esportivas previstas no projeto. MC: 50 bolas para o período de execução do projeto.</t>
  </si>
  <si>
    <t>Netshoes</t>
  </si>
  <si>
    <t>Decathlon</t>
  </si>
  <si>
    <t>Centauro</t>
  </si>
  <si>
    <t>3.2</t>
  </si>
  <si>
    <t>Bola de Futebol</t>
  </si>
  <si>
    <t>Bola de Futebol Oficial Adulto para treinamento da equipe de futebol feminino. MC: 30 bolas para o período de execução do projeto.</t>
  </si>
  <si>
    <t>Nike</t>
  </si>
  <si>
    <t>Magazine Luiza</t>
  </si>
  <si>
    <t>3.3</t>
  </si>
  <si>
    <t>Bola de Tênis de Mesa</t>
  </si>
  <si>
    <t>Bola de tênis de mesa; diâmetro: 40 mm. Classificação: 2/3 Estrelas. MC: 10 caixas com 3 unidade = 30 bolas para o período de execução do projeto.</t>
  </si>
  <si>
    <t>Unidades</t>
  </si>
  <si>
    <t>Amazon</t>
  </si>
  <si>
    <t>Fut Fanatics</t>
  </si>
  <si>
    <t>3.4</t>
  </si>
  <si>
    <t>Capacete de proteção Skate</t>
  </si>
  <si>
    <t>Equipamento de segurança individual destinado à proteção da cabeça da atleta durante os treinos e competições da modalidade Skate. MC: 1 atleta x 2 unidades</t>
  </si>
  <si>
    <t>3.5</t>
  </si>
  <si>
    <t>Prancheta Tática</t>
  </si>
  <si>
    <t>Prancheta tática para as modalidades de futsal paradesportivo, futsal feminino e futebol feminino. MC: 6 pranchetas para o período de execução.</t>
  </si>
  <si>
    <t>Pista e Campo</t>
  </si>
  <si>
    <t>Lojão dos Esportes</t>
  </si>
  <si>
    <t>3.6</t>
  </si>
  <si>
    <t>Raquete de Chute</t>
  </si>
  <si>
    <t>É utilizada para melhorar a precisão dos golpes, nos treinos de agilidade e pontapés em sequência. MC: 10 unidades previstas para o projeto.</t>
  </si>
  <si>
    <t>Clube da Luta Shop</t>
  </si>
  <si>
    <t>Loja Brasil Fit</t>
  </si>
  <si>
    <t>Azul Esportes</t>
  </si>
  <si>
    <t>3.7</t>
  </si>
  <si>
    <t>Raquete Tenis de mesa</t>
  </si>
  <si>
    <t>Raquete de tênis de mesa feito de madeira revestida com borracha em ambos os lados. Previsto 10 pares para o novo ano de execução</t>
  </si>
  <si>
    <t>Par</t>
  </si>
  <si>
    <t>Speedo</t>
  </si>
  <si>
    <t>Pró Spin</t>
  </si>
  <si>
    <t>3.8</t>
  </si>
  <si>
    <t>Skate Montado</t>
  </si>
  <si>
    <t>Skate completo e montado, adequado ao nível técnico da atleta, incluindo shape, trucks, rolamentos e rodas, para uso em treinos e competições oficiais. MC: 1 atleta x 2 unidades</t>
  </si>
  <si>
    <t>Kiori Skates</t>
  </si>
  <si>
    <t>Deepipe</t>
  </si>
  <si>
    <t>Future Skateboards</t>
  </si>
  <si>
    <t>Uniformes</t>
  </si>
  <si>
    <t>4.1</t>
  </si>
  <si>
    <t>Conjunto Uniforme - Atletas (Futsal Paradesportivo)</t>
  </si>
  <si>
    <t>Conjunto de uniforme composto por camisa e calção, para uniformização dos atletas na modalidade de Futsal Paradesportivo. MC: 40 atletas x 2 unidades = 80 unidades.</t>
  </si>
  <si>
    <t>Esporte Legal</t>
  </si>
  <si>
    <t>4.2</t>
  </si>
  <si>
    <t>Conjunto Uniforme - Atletas (Futsal Feminino)</t>
  </si>
  <si>
    <t>Conjunto de uniforme composto por camisa e calção, para uniformização das atletas na modalidade de Futsal Feminino. MC: 45 atletas x 2 unidades = 90 unidades.</t>
  </si>
  <si>
    <t>Zattini</t>
  </si>
  <si>
    <t>4.3</t>
  </si>
  <si>
    <t>Conjunto Uniforme - Atletas (Futebol Feminino)</t>
  </si>
  <si>
    <t>Conjunto de uniforme composto por camisa e calção, para uniformização das atletas na modalidade de Futsal Feminino. MC: 60 atletas x 2 unidades = 120 unidades.</t>
  </si>
  <si>
    <t>4.4</t>
  </si>
  <si>
    <t xml:space="preserve">Bermuda - Atletas </t>
  </si>
  <si>
    <t>Bermuda para uniformização dos atletas nas seguintes modalidades: Skate, Tênis de Mesa, Futebol de Mesa, Natação, E-Games e Taekwondo. MC: 200 atletas x 2 unidades = 400 unidades.</t>
  </si>
  <si>
    <t>4.5</t>
  </si>
  <si>
    <t>Boné (Skate)</t>
  </si>
  <si>
    <t>Acessório utilizado pela atleta da modalidade Skate para proteção contra o sol e composição do uniforme de apresentação em treinos, competições e eventos oficiais do projeto. MC: 2 unidades x 1 atleta.</t>
  </si>
  <si>
    <t>Fila</t>
  </si>
  <si>
    <t>4.6</t>
  </si>
  <si>
    <t>Calça (Skate)</t>
  </si>
  <si>
    <t>Peça do uniforme esportivo da atleta da modalidade Skate, confeccionada em tecido resistente e confortável, adequada para a prática segura e livre de movimentos durante treinos e competições. MC: 4 unidades x 1 atleta.</t>
  </si>
  <si>
    <t>4.7</t>
  </si>
  <si>
    <t>Camisa - Atletas</t>
  </si>
  <si>
    <t>Camisa fabricada em tecido poliéster com elastano (ou similar). para uniformização dos atletas nas seguintes modalidades: Skate, Tênis de Mesa, Futebol de Mesa, Natação, E-Games e Taekwondo. MC: 200 atletas x 2 unidades = 400 unidades.</t>
  </si>
  <si>
    <t>4.8</t>
  </si>
  <si>
    <t>Colete</t>
  </si>
  <si>
    <t>Vestuário para os atletas de futebol e futsal do projeto. - Coletes para treino fabricado 100% em poliéster. Tamanhos diversos. Previsto 400 unidades.</t>
  </si>
  <si>
    <t>dia</t>
  </si>
  <si>
    <t>4.9</t>
  </si>
  <si>
    <t>Meião - Atletas (Futsal Paradesportivo)</t>
  </si>
  <si>
    <t>Par de meia algodão ou similar para compor conjunto de uniforme, utilizada em treino e jogos. MC: 40 atletas x 2 pares.</t>
  </si>
  <si>
    <t>4.10</t>
  </si>
  <si>
    <t>Meião - Atletas (Futsal Feminino)</t>
  </si>
  <si>
    <t>Par de meia algodão ou similar para compor conjunto de uniforme, utilizada em treino e jogos. MC: 45 atletas x 2 pares.</t>
  </si>
  <si>
    <t>4.11</t>
  </si>
  <si>
    <t>Meião - Atletas (Futebol Feminino)</t>
  </si>
  <si>
    <t>Par de meia algodão ou similar para compor conjunto de uniforme, utilizada em treino e jogos. MC: 60 atletas x 2 pares.</t>
  </si>
  <si>
    <t>4.12</t>
  </si>
  <si>
    <t>Mochila</t>
  </si>
  <si>
    <t>Mochila de viagem para transporte de itens pessoais dos atletas e comissão técnica: MC: (300 atletas + 9 CT) = 309 unidades.</t>
  </si>
  <si>
    <t>4.13</t>
  </si>
  <si>
    <t>Kimono Taekwondo</t>
  </si>
  <si>
    <t>Kimono para prática do Taekwondo. Previsto 30 unidades.</t>
  </si>
  <si>
    <t>4.14</t>
  </si>
  <si>
    <t>Faixa para Dobok de taekwondo</t>
  </si>
  <si>
    <t>Necessaria para fechar o Dobok. Tecido 100% algodão, 6 costuras paralelas, com material maleável. Previsto 30 unidades.</t>
  </si>
  <si>
    <t>Sulsport</t>
  </si>
  <si>
    <t>4.15</t>
  </si>
  <si>
    <t xml:space="preserve">Maiô para treinamento Feminino, costa nadador fechada com painel frontal para maior sustentação dos seios.Composição: 75% Poliamida, 25% elastano. </t>
  </si>
  <si>
    <t>Maiô costa nadador fechada com painel frontal para maior sustentação dos seios. Tecido em poliamida. Composição: 75% poliamida, 25% elastano. Modelo Flets ou similar. Tamamnhos diversos. Previsto 20 unidades.</t>
  </si>
  <si>
    <t>Tabela de Precificação do Ministério - Item 4773</t>
  </si>
  <si>
    <t>4.16</t>
  </si>
  <si>
    <t>Óculos de natação com lentes em acrílico, tiras e acabamento em silicone.</t>
  </si>
  <si>
    <t>Óculos de natação com lentes em acrílico, tiras e acabamento em silicone. Parte integrante do uniforme dos alunos. Previsto 40 unidades.</t>
  </si>
  <si>
    <t>Tabela de Precificação do Ministério - Item 5231</t>
  </si>
  <si>
    <t>4.17</t>
  </si>
  <si>
    <t>Sunga de lycra 85% poliamida e 15% elastano.</t>
  </si>
  <si>
    <t>Sunga de lycra 85% poliamida e 15% elastano. MC = 1 unidade x 20 atletas previstos do sexo masculino. Item 7150 da Planilha de Precificação.Previsto 20 unidades.</t>
  </si>
  <si>
    <t>Tabela de Precificação do Ministério - Item 7150</t>
  </si>
  <si>
    <t>4.18</t>
  </si>
  <si>
    <t>Squeeze</t>
  </si>
  <si>
    <t>Garrafinha para os participantes e RHs transportarem água durante as atividades previstas do projeto. MC: 300 atletas + 10% contingencia = 330 unidades.</t>
  </si>
  <si>
    <t>4.19</t>
  </si>
  <si>
    <t>Touca de composição interna: Poliamida 82% e Elastano 18%/Revestimento externo: Poliuretano 100%. Adulto</t>
  </si>
  <si>
    <t>Touca de composição interna: Poliamida 82% e Elastano 18%. Revestimento externo: Poliuretano 100%. Previsto 80 unidades.</t>
  </si>
  <si>
    <t>Tabela de Precificação do Ministério - Item 7638</t>
  </si>
  <si>
    <t>Material Permanente/Equipamento</t>
  </si>
  <si>
    <t>5.1</t>
  </si>
  <si>
    <t>Mesa de Futebol de Botão.</t>
  </si>
  <si>
    <t>Equipamento oficial utilizado para a prática e desenvolvimento técnico da modalidade Futebol de Mesa. Previsto 5 unidades para o projeto.</t>
  </si>
  <si>
    <t>Salao de Jogos</t>
  </si>
  <si>
    <t>Campestre Rio</t>
  </si>
  <si>
    <t>5.2</t>
  </si>
  <si>
    <t>Mesa de Tênis de Mesa</t>
  </si>
  <si>
    <t>Mesa de tênis de mesa para competição; sistema de segurança para o fecho e abertura; pés reguláveis em altura para obter superfície perfeitamente plana; tampo: 28mm. Previsto 5 unidades para o novo ano de execução.</t>
  </si>
  <si>
    <t>5.3</t>
  </si>
  <si>
    <t>Rede de tênis de mesa</t>
  </si>
  <si>
    <t>Rede e Suporte para tênis de mesa. Dimensões (L x A x P): 14 x 4 x 25 cm. Itens inclusos: 02 Suportes para Rede Estilo Jacaré com Molas;01 Rede para Tenis de Mesa Peso do produto 421 g. Previsto 4 unidades para o novo ano de execução</t>
  </si>
  <si>
    <t>Serviços Operacionais</t>
  </si>
  <si>
    <t>6.1</t>
  </si>
  <si>
    <t>Serviço de Coordenação de Marketing</t>
  </si>
  <si>
    <t>Contratação de serviços de coordenação de marketing para o projeto. Contempla serviços desde aprovação até a finalização de layouts, gestão de mídias e informativos das atividades, publicidade e transparência da realização do projeto. MC: 1 serviço por 12 meses de atividades do projeto.</t>
  </si>
  <si>
    <t>Serviço</t>
  </si>
  <si>
    <t>Transporte/Locomoção</t>
  </si>
  <si>
    <t>7.1</t>
  </si>
  <si>
    <t>Locação de Ônibus</t>
  </si>
  <si>
    <t>Serviço de locação de ônibus para o transporte dos atletas e comissão técnica nas competições e jogos das 9 modalidades previstas no projeto, abrangendo deslocamentos locais e para cidades próximas. MC: 1 locação x 9 modalidades x 12 meses.</t>
  </si>
  <si>
    <t>Locação</t>
  </si>
  <si>
    <t>7.2</t>
  </si>
  <si>
    <t>Passagens Aéreas - Copa Sul-Americana Futsal Paradesportivo</t>
  </si>
  <si>
    <t>Passagens aéreas para o Sul-Americano de Futsal Paradesportivo. MC: 30 bilhetes para o período de execução. Destino: À DEFINIR</t>
  </si>
  <si>
    <t>Bilhete</t>
  </si>
  <si>
    <t>Aerolíneas Argentinas</t>
  </si>
  <si>
    <t>LATAM</t>
  </si>
  <si>
    <t>Gol</t>
  </si>
  <si>
    <t>Taxas/Inscrições</t>
  </si>
  <si>
    <t>8.1</t>
  </si>
  <si>
    <t>Contribuição Confederativa Anual - CBDI</t>
  </si>
  <si>
    <t>Taxa de Contribuição Confederativa anual a ser paga para a CBDI - Entidade que gerencia o Campeonato Brasileiro de Futsal Down. Previsto 1 taxa para o período de execução.</t>
  </si>
  <si>
    <t>Taxa</t>
  </si>
  <si>
    <t>CBDI</t>
  </si>
  <si>
    <t>8.2</t>
  </si>
  <si>
    <t>Taxa de participação - CBDI</t>
  </si>
  <si>
    <t>Taxa de Participação em eventos por equipe - CBDI - Taxa para participação no Campeonato Brasileiro de Futsal Down. Previsto 1 taxa para o período de execução.</t>
  </si>
  <si>
    <t>8.3</t>
  </si>
  <si>
    <t>Mensalidade - FAP</t>
  </si>
  <si>
    <t>Taxa a ser paga mensalmente à Federação Aquática Paulista, para a modalidade de Natação. Previsto 1 taxa x 12 meses de execução do projeto.</t>
  </si>
  <si>
    <t>FAP</t>
  </si>
  <si>
    <t>8.4</t>
  </si>
  <si>
    <t>Registro de Atletas - FAP</t>
  </si>
  <si>
    <t>Taxa de registro dos atletas de Natação na Federação Aquática Paulista. Previsto 1 taxa x 40 atletas durante o período de execução.</t>
  </si>
  <si>
    <t>8.5</t>
  </si>
  <si>
    <t>Inscrição de Atletas - FAP</t>
  </si>
  <si>
    <t>Inscrição dos atletas de Natação nos Campeonatos Paulistas da modalidade, organizados pela Federação Aquática Paulista. Previsto 1 taxa x 40 atletas durante o período de execução.</t>
  </si>
  <si>
    <t>8.6</t>
  </si>
  <si>
    <t>Inscrição de Atletas - CBDA</t>
  </si>
  <si>
    <t>Inscrição dos atletas de Natação nas competições da modalidade organizadas pela CBDA. Previsto 1 taxa x 40 atletas durante o período de execução.</t>
  </si>
  <si>
    <t>CBDA</t>
  </si>
  <si>
    <t>8.7</t>
  </si>
  <si>
    <t>Vinculação Feminina Definitiva - FPF</t>
  </si>
  <si>
    <t>Anuidade de Filiação a ser paga à FPF, para a modalidade de futebol feminino. Previsto 1 taxa para o período de execução.</t>
  </si>
  <si>
    <t>FPF</t>
  </si>
  <si>
    <t>8.8</t>
  </si>
  <si>
    <t>Anuidade - FPFS</t>
  </si>
  <si>
    <t>Anuidade de Filiação a ser paga à FPFS, para a modalidade de futsal feminino. Previsto 1 taxa para o período de execução.</t>
  </si>
  <si>
    <t>FPFS</t>
  </si>
  <si>
    <t>8.9</t>
  </si>
  <si>
    <t>Inscrição - FPFS</t>
  </si>
  <si>
    <t>Taxa de Inscrição em campeonatos organizados pela FPFS, para a modalidade de futsal feminino. Previsto 1 taxa para o período de execução.</t>
  </si>
  <si>
    <t>8.10</t>
  </si>
  <si>
    <t>Filiação - FTMSP</t>
  </si>
  <si>
    <t>Taxa de Filiação para Clube Atuante na FTMSP, para a modalidade de tênis de mesa. Previsto 1 taxa para o período de execução.</t>
  </si>
  <si>
    <t>FTMSP</t>
  </si>
  <si>
    <t>8.11</t>
  </si>
  <si>
    <t>Inscrição - FTMSP</t>
  </si>
  <si>
    <t>Taxa de Inscrição da equipe no Campeonato Paulista de Divisões - Divisão Geral da FTMSP, para a modalidade de tênis de mesa. Previsto 1 taxa para o período de execução.</t>
  </si>
  <si>
    <t xml:space="preserve">Total Despesas Atividade Fim: </t>
  </si>
  <si>
    <t>,</t>
  </si>
  <si>
    <t>ATIVIDADE MEIO</t>
  </si>
  <si>
    <t>Serviços de Terceiros</t>
  </si>
  <si>
    <t>Assessoria de Imprensa</t>
  </si>
  <si>
    <t>Serviço de assessoria de imprensa para auxiliar os atletas na divulgação das ações do projeto, a fim de contribuir para o fomento do esporte gerando visibilidade para suas atividades, seus parceiros e demonstrar a viabilidade do projeto através dos benefícios oportunizados pela Lei Federal de Incentivo ao Esporte. MC: 1 serviço x 12 meses</t>
  </si>
  <si>
    <t xml:space="preserve">Serviço </t>
  </si>
  <si>
    <t xml:space="preserve">Mês  </t>
  </si>
  <si>
    <t>Serviço de Prestação de Contas</t>
  </si>
  <si>
    <t>Serviço de prestação de contas do projeto. Aquisição de dados e documentos junto ao proponente e manutenção dos mesmos. Contato com fornecedores e entrega das prestações de conta parcial e final do projeto. MC: 1 serviço x 12 meses.</t>
  </si>
  <si>
    <t>Divulgação/Promoção</t>
  </si>
  <si>
    <t>Banner em Lona</t>
  </si>
  <si>
    <t>Banner em Lona de 80 x 120 cm de Divulgação do Projeto e para publicidade das marcas oficiais do Governo Federal, Ministério da Cidadania, Lei de Incentivo ao Esporte e a Secretaria Especial do Esporte. Previsto 10 unidades para o período de execução.</t>
  </si>
  <si>
    <t xml:space="preserve">Total Despesas Atividade Meio: </t>
  </si>
  <si>
    <t>Total Atividade Fim + Meio</t>
  </si>
  <si>
    <t>Valor de Elaboração / Captação</t>
  </si>
  <si>
    <t>Valor Total do Projeto</t>
  </si>
  <si>
    <t>Projeto s/ Trilha</t>
  </si>
  <si>
    <t>Trilha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</si>
</sst>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&quot;R$&quot;\ * #,##0.00_-;\-&quot;R$&quot;\ * #,##0.00_-;_-&quot;R$&quot;\ * &quot;-&quot;??_-;_-@_-"/>
    <numFmt numFmtId="165" formatCode="_-* #,##0.00_-;\-* #,##0.00_-;_-* &quot;-&quot;??_-;_-@_-"/>
  </numFmts>
  <fonts count="2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name val="Arial"/>
      <family val="2"/>
    </font>
    <font>
      <sz val="10"/>
      <color rgb="FF000000"/>
      <name val="Arial"/>
      <family val="2"/>
    </font>
    <font>
      <sz val="10"/>
      <color rgb="FF003366"/>
      <name val="Arial"/>
      <family val="2"/>
    </font>
    <font>
      <sz val="10"/>
      <color theme="1"/>
      <name val="Arial"/>
      <family val="2"/>
    </font>
    <font>
      <sz val="12"/>
      <color indexed="8"/>
      <name val="Verdana"/>
      <family val="2"/>
    </font>
    <font>
      <b/>
      <sz val="10"/>
      <color rgb="FF003366"/>
      <name val="Arial"/>
      <family val="2"/>
    </font>
    <font>
      <sz val="10"/>
      <color rgb="FF444444"/>
      <name val="Arial"/>
      <family val="2"/>
    </font>
    <font>
      <b/>
      <sz val="10"/>
      <color rgb="FFFFFFFF"/>
      <name val="Arial"/>
      <family val="2"/>
    </font>
    <font>
      <sz val="10"/>
      <color rgb="FFFFFFFF"/>
      <name val="Arial"/>
      <family val="2"/>
    </font>
    <font>
      <sz val="10"/>
      <name val="Tahoma"/>
      <family val="2"/>
    </font>
    <font>
      <sz val="10"/>
      <color theme="1"/>
      <name val="Tahoma"/>
      <family val="2"/>
    </font>
    <font>
      <sz val="10"/>
      <color theme="1"/>
      <name val="Tahoma"/>
    </font>
    <font>
      <sz val="10"/>
      <name val="Tahoma"/>
    </font>
    <font>
      <sz val="10"/>
      <name val="Arial"/>
    </font>
    <font>
      <sz val="10"/>
      <color rgb="FF003366"/>
      <name val="Arial"/>
    </font>
    <font>
      <sz val="10"/>
      <color theme="1"/>
      <name val="Arial"/>
    </font>
    <font>
      <sz val="10"/>
      <color rgb="FF000000"/>
      <name val="Arial"/>
    </font>
    <font>
      <sz val="10"/>
      <color rgb="FF444444"/>
      <name val="Arial"/>
    </font>
    <font>
      <sz val="10"/>
      <color rgb="FFFFFFFF"/>
      <name val="Arial"/>
    </font>
    <font>
      <b/>
      <sz val="10"/>
      <color rgb="FF003366"/>
      <name val="Arial"/>
    </font>
    <font>
      <b/>
      <sz val="10"/>
      <color rgb="FFFFFFFF"/>
      <name val="Arial"/>
    </font>
    <font>
      <sz val="10"/>
      <color indexed="8"/>
      <name val="Tahoma"/>
    </font>
  </fonts>
  <fills count="1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728EAA"/>
        <bgColor indexed="64"/>
      </patternFill>
    </fill>
    <fill>
      <patternFill patternType="solid">
        <fgColor rgb="FFCCE3EA"/>
        <bgColor indexed="64"/>
      </patternFill>
    </fill>
    <fill>
      <patternFill patternType="solid">
        <fgColor rgb="FFDFDFD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4F81BD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7">
    <xf numFmtId="0" fontId="0" fillId="0" borderId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9" fontId="1" fillId="0" borderId="0" applyFont="0" applyFill="0" applyBorder="0" applyAlignment="0" applyProtection="0"/>
    <xf numFmtId="0" fontId="8" fillId="0" borderId="0" applyNumberFormat="0" applyFill="0" applyBorder="0" applyProtection="0">
      <alignment vertical="top" wrapText="1"/>
    </xf>
    <xf numFmtId="0" fontId="1" fillId="0" borderId="0"/>
  </cellStyleXfs>
  <cellXfs count="88">
    <xf numFmtId="0" fontId="0" fillId="0" borderId="0" xfId="0"/>
    <xf numFmtId="0" fontId="4" fillId="0" borderId="1" xfId="0" applyFont="1" applyBorder="1" applyAlignment="1">
      <alignment horizontal="center" vertical="center" wrapText="1"/>
    </xf>
    <xf numFmtId="164" fontId="6" fillId="0" borderId="1" xfId="1" applyFont="1" applyFill="1" applyBorder="1" applyAlignment="1">
      <alignment horizontal="right" vertical="center" wrapText="1"/>
    </xf>
    <xf numFmtId="164" fontId="9" fillId="5" borderId="4" xfId="1" applyFont="1" applyFill="1" applyBorder="1" applyAlignment="1">
      <alignment vertical="center" wrapText="1"/>
    </xf>
    <xf numFmtId="164" fontId="9" fillId="5" borderId="4" xfId="1" applyFont="1" applyFill="1" applyBorder="1" applyAlignment="1">
      <alignment vertical="center"/>
    </xf>
    <xf numFmtId="0" fontId="9" fillId="0" borderId="1" xfId="0" applyFont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164" fontId="9" fillId="0" borderId="1" xfId="1" applyFont="1" applyFill="1" applyBorder="1" applyAlignment="1">
      <alignment horizontal="right" vertical="center" wrapText="1"/>
    </xf>
    <xf numFmtId="164" fontId="9" fillId="6" borderId="1" xfId="1" applyFont="1" applyFill="1" applyBorder="1" applyAlignment="1">
      <alignment horizontal="right" vertical="center" wrapText="1"/>
    </xf>
    <xf numFmtId="0" fontId="7" fillId="0" borderId="0" xfId="0" applyFont="1"/>
    <xf numFmtId="0" fontId="12" fillId="3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64" fontId="10" fillId="6" borderId="1" xfId="0" applyNumberFormat="1" applyFont="1" applyFill="1" applyBorder="1" applyAlignment="1">
      <alignment horizontal="center" vertical="center"/>
    </xf>
    <xf numFmtId="0" fontId="12" fillId="3" borderId="11" xfId="0" applyFont="1" applyFill="1" applyBorder="1" applyAlignment="1">
      <alignment horizontal="center" vertical="center" wrapText="1"/>
    </xf>
    <xf numFmtId="0" fontId="5" fillId="8" borderId="0" xfId="0" applyFont="1" applyFill="1" applyAlignment="1">
      <alignment horizontal="center" vertical="center"/>
    </xf>
    <xf numFmtId="164" fontId="7" fillId="0" borderId="0" xfId="1" applyFont="1" applyAlignment="1">
      <alignment horizontal="center" vertical="center"/>
    </xf>
    <xf numFmtId="0" fontId="6" fillId="9" borderId="1" xfId="0" applyFont="1" applyFill="1" applyBorder="1" applyAlignment="1">
      <alignment horizontal="center" vertical="center" wrapText="1"/>
    </xf>
    <xf numFmtId="10" fontId="7" fillId="0" borderId="0" xfId="4" applyNumberFormat="1" applyFont="1"/>
    <xf numFmtId="0" fontId="7" fillId="0" borderId="0" xfId="0" applyFont="1" applyAlignment="1">
      <alignment vertical="center"/>
    </xf>
    <xf numFmtId="10" fontId="7" fillId="0" borderId="0" xfId="4" applyNumberFormat="1" applyFont="1" applyAlignment="1">
      <alignment vertical="center"/>
    </xf>
    <xf numFmtId="165" fontId="7" fillId="0" borderId="0" xfId="2" applyFont="1"/>
    <xf numFmtId="164" fontId="5" fillId="0" borderId="1" xfId="1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164" fontId="9" fillId="6" borderId="1" xfId="1" applyFont="1" applyFill="1" applyBorder="1" applyAlignment="1">
      <alignment vertical="center" wrapText="1"/>
    </xf>
    <xf numFmtId="0" fontId="4" fillId="0" borderId="1" xfId="3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/>
    </xf>
    <xf numFmtId="164" fontId="13" fillId="0" borderId="1" xfId="1" applyFont="1" applyFill="1" applyBorder="1" applyAlignment="1">
      <alignment horizontal="center" vertical="center" wrapText="1"/>
    </xf>
    <xf numFmtId="164" fontId="0" fillId="0" borderId="0" xfId="0" applyNumberFormat="1"/>
    <xf numFmtId="165" fontId="0" fillId="0" borderId="0" xfId="2" applyFont="1" applyAlignment="1">
      <alignment vertical="center"/>
    </xf>
    <xf numFmtId="0" fontId="4" fillId="0" borderId="1" xfId="3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 wrapText="1"/>
    </xf>
    <xf numFmtId="164" fontId="16" fillId="0" borderId="1" xfId="1" applyFont="1" applyBorder="1" applyAlignment="1">
      <alignment horizontal="center" vertical="center" wrapText="1"/>
    </xf>
    <xf numFmtId="164" fontId="18" fillId="0" borderId="1" xfId="1" applyFont="1" applyBorder="1" applyAlignment="1">
      <alignment horizontal="right" vertical="center" wrapText="1"/>
    </xf>
    <xf numFmtId="0" fontId="19" fillId="0" borderId="0" xfId="0" applyFont="1"/>
    <xf numFmtId="0" fontId="17" fillId="0" borderId="1" xfId="3" applyFont="1" applyBorder="1" applyAlignment="1">
      <alignment horizontal="center" vertical="center" wrapText="1"/>
    </xf>
    <xf numFmtId="164" fontId="20" fillId="0" borderId="1" xfId="1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164" fontId="21" fillId="6" borderId="1" xfId="0" applyNumberFormat="1" applyFont="1" applyFill="1" applyBorder="1" applyAlignment="1">
      <alignment horizontal="center" vertical="center"/>
    </xf>
    <xf numFmtId="0" fontId="22" fillId="3" borderId="1" xfId="0" applyFont="1" applyFill="1" applyBorder="1" applyAlignment="1">
      <alignment horizontal="center" vertical="center" wrapText="1"/>
    </xf>
    <xf numFmtId="0" fontId="23" fillId="2" borderId="1" xfId="0" applyFont="1" applyFill="1" applyBorder="1" applyAlignment="1">
      <alignment horizontal="center" vertical="center" wrapText="1"/>
    </xf>
    <xf numFmtId="164" fontId="23" fillId="6" borderId="1" xfId="1" applyFont="1" applyFill="1" applyBorder="1" applyAlignment="1">
      <alignment horizontal="right" vertical="center" wrapText="1"/>
    </xf>
    <xf numFmtId="0" fontId="18" fillId="4" borderId="1" xfId="0" applyFont="1" applyFill="1" applyBorder="1" applyAlignment="1">
      <alignment horizontal="center" vertical="center" wrapText="1"/>
    </xf>
    <xf numFmtId="0" fontId="24" fillId="7" borderId="1" xfId="0" applyFont="1" applyFill="1" applyBorder="1" applyAlignment="1">
      <alignment horizontal="center" vertical="center"/>
    </xf>
    <xf numFmtId="0" fontId="25" fillId="0" borderId="1" xfId="0" applyFont="1" applyBorder="1" applyAlignment="1">
      <alignment horizontal="center" vertical="center" wrapText="1"/>
    </xf>
    <xf numFmtId="164" fontId="25" fillId="0" borderId="1" xfId="0" applyNumberFormat="1" applyFont="1" applyBorder="1" applyAlignment="1">
      <alignment horizontal="center" vertical="center" wrapText="1"/>
    </xf>
    <xf numFmtId="0" fontId="17" fillId="11" borderId="1" xfId="3" applyFont="1" applyFill="1" applyBorder="1" applyAlignment="1">
      <alignment horizontal="center" vertical="center" wrapText="1"/>
    </xf>
    <xf numFmtId="0" fontId="15" fillId="11" borderId="1" xfId="0" applyFont="1" applyFill="1" applyBorder="1" applyAlignment="1">
      <alignment horizontal="center" vertical="center" wrapText="1"/>
    </xf>
    <xf numFmtId="0" fontId="14" fillId="11" borderId="1" xfId="0" applyFont="1" applyFill="1" applyBorder="1" applyAlignment="1">
      <alignment horizontal="center" vertical="center" wrapText="1"/>
    </xf>
    <xf numFmtId="164" fontId="20" fillId="11" borderId="1" xfId="1" applyFont="1" applyFill="1" applyBorder="1" applyAlignment="1">
      <alignment horizontal="center" vertical="center"/>
    </xf>
    <xf numFmtId="0" fontId="4" fillId="11" borderId="1" xfId="3" applyFont="1" applyFill="1" applyBorder="1" applyAlignment="1">
      <alignment horizontal="center" vertical="center" wrapText="1"/>
    </xf>
    <xf numFmtId="164" fontId="5" fillId="11" borderId="1" xfId="1" applyFont="1" applyFill="1" applyBorder="1" applyAlignment="1">
      <alignment horizontal="center" vertical="center"/>
    </xf>
    <xf numFmtId="0" fontId="14" fillId="12" borderId="1" xfId="0" applyFont="1" applyFill="1" applyBorder="1" applyAlignment="1">
      <alignment horizontal="center" vertical="center" wrapText="1"/>
    </xf>
    <xf numFmtId="0" fontId="13" fillId="12" borderId="1" xfId="0" applyFont="1" applyFill="1" applyBorder="1" applyAlignment="1">
      <alignment horizontal="center" vertical="center" wrapText="1"/>
    </xf>
    <xf numFmtId="0" fontId="14" fillId="12" borderId="1" xfId="0" applyFont="1" applyFill="1" applyBorder="1" applyAlignment="1">
      <alignment horizontal="center" vertical="center"/>
    </xf>
    <xf numFmtId="0" fontId="4" fillId="12" borderId="1" xfId="0" applyFont="1" applyFill="1" applyBorder="1" applyAlignment="1">
      <alignment horizontal="center" vertical="center" wrapText="1"/>
    </xf>
    <xf numFmtId="164" fontId="13" fillId="12" borderId="1" xfId="1" applyFont="1" applyFill="1" applyBorder="1" applyAlignment="1">
      <alignment horizontal="center" vertical="center" wrapText="1"/>
    </xf>
    <xf numFmtId="164" fontId="6" fillId="12" borderId="1" xfId="1" applyFont="1" applyFill="1" applyBorder="1" applyAlignment="1">
      <alignment horizontal="right" vertical="center" wrapText="1"/>
    </xf>
    <xf numFmtId="9" fontId="0" fillId="0" borderId="0" xfId="4" applyFont="1" applyAlignment="1">
      <alignment vertical="center"/>
    </xf>
    <xf numFmtId="0" fontId="19" fillId="0" borderId="0" xfId="0" applyFont="1" applyAlignment="1">
      <alignment horizontal="center" vertical="center"/>
    </xf>
    <xf numFmtId="0" fontId="12" fillId="3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12" fillId="3" borderId="11" xfId="0" applyFont="1" applyFill="1" applyBorder="1" applyAlignment="1">
      <alignment horizontal="center" vertical="center" wrapText="1"/>
    </xf>
    <xf numFmtId="0" fontId="11" fillId="3" borderId="5" xfId="0" applyFont="1" applyFill="1" applyBorder="1" applyAlignment="1">
      <alignment horizontal="center" vertical="center" wrapText="1"/>
    </xf>
    <xf numFmtId="0" fontId="11" fillId="3" borderId="6" xfId="0" applyFont="1" applyFill="1" applyBorder="1" applyAlignment="1">
      <alignment horizontal="center" vertical="center" wrapText="1"/>
    </xf>
    <xf numFmtId="0" fontId="11" fillId="3" borderId="7" xfId="0" applyFont="1" applyFill="1" applyBorder="1" applyAlignment="1">
      <alignment horizontal="center" vertical="center" wrapText="1"/>
    </xf>
    <xf numFmtId="0" fontId="11" fillId="3" borderId="8" xfId="0" applyFont="1" applyFill="1" applyBorder="1" applyAlignment="1">
      <alignment horizontal="center" vertical="center" wrapText="1"/>
    </xf>
    <xf numFmtId="0" fontId="11" fillId="3" borderId="9" xfId="0" applyFont="1" applyFill="1" applyBorder="1" applyAlignment="1">
      <alignment horizontal="center" vertical="center" wrapText="1"/>
    </xf>
    <xf numFmtId="0" fontId="11" fillId="3" borderId="10" xfId="0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right" vertical="center" wrapText="1"/>
    </xf>
    <xf numFmtId="0" fontId="9" fillId="5" borderId="2" xfId="0" applyFont="1" applyFill="1" applyBorder="1" applyAlignment="1">
      <alignment horizontal="right" vertical="center"/>
    </xf>
    <xf numFmtId="0" fontId="9" fillId="5" borderId="3" xfId="0" applyFont="1" applyFill="1" applyBorder="1" applyAlignment="1">
      <alignment horizontal="right" vertical="center"/>
    </xf>
    <xf numFmtId="0" fontId="9" fillId="5" borderId="2" xfId="0" applyFont="1" applyFill="1" applyBorder="1" applyAlignment="1">
      <alignment horizontal="right" vertical="center" wrapText="1"/>
    </xf>
    <xf numFmtId="0" fontId="9" fillId="5" borderId="3" xfId="0" applyFont="1" applyFill="1" applyBorder="1" applyAlignment="1">
      <alignment horizontal="right" vertical="center" wrapText="1"/>
    </xf>
    <xf numFmtId="0" fontId="9" fillId="10" borderId="2" xfId="0" applyFont="1" applyFill="1" applyBorder="1" applyAlignment="1">
      <alignment horizontal="right" vertical="center"/>
    </xf>
    <xf numFmtId="0" fontId="9" fillId="10" borderId="3" xfId="0" applyFont="1" applyFill="1" applyBorder="1" applyAlignment="1">
      <alignment horizontal="right" vertical="center"/>
    </xf>
    <xf numFmtId="0" fontId="22" fillId="3" borderId="1" xfId="0" applyFont="1" applyFill="1" applyBorder="1" applyAlignment="1">
      <alignment horizontal="center" vertical="center" wrapText="1"/>
    </xf>
    <xf numFmtId="0" fontId="23" fillId="2" borderId="1" xfId="0" applyFont="1" applyFill="1" applyBorder="1" applyAlignment="1">
      <alignment horizontal="center" vertical="center" wrapText="1"/>
    </xf>
    <xf numFmtId="0" fontId="17" fillId="13" borderId="1" xfId="3" applyFont="1" applyFill="1" applyBorder="1" applyAlignment="1">
      <alignment horizontal="center" vertical="center" wrapText="1"/>
    </xf>
    <xf numFmtId="164" fontId="20" fillId="13" borderId="1" xfId="1" applyFont="1" applyFill="1" applyBorder="1" applyAlignment="1">
      <alignment horizontal="center" vertical="center"/>
    </xf>
    <xf numFmtId="0" fontId="17" fillId="0" borderId="1" xfId="3" applyFont="1" applyFill="1" applyBorder="1" applyAlignment="1">
      <alignment horizontal="center" vertical="center" wrapText="1"/>
    </xf>
    <xf numFmtId="164" fontId="20" fillId="0" borderId="1" xfId="1" applyFont="1" applyFill="1" applyBorder="1" applyAlignment="1">
      <alignment horizontal="center" vertical="center"/>
    </xf>
  </cellXfs>
  <cellStyles count="7">
    <cellStyle name="Hiperlink" xfId="3" builtinId="8"/>
    <cellStyle name="Moeda" xfId="1" builtinId="4"/>
    <cellStyle name="Normal" xfId="0" builtinId="0"/>
    <cellStyle name="Normal 3" xfId="6" xr:uid="{6E2F4416-BFF6-44A5-9512-CBB9DC3612DF}"/>
    <cellStyle name="Normal 9" xfId="5" xr:uid="{F416621D-8168-447D-BF2E-B6E6F43A9CE0}"/>
    <cellStyle name="Porcentagem" xfId="4" builtinId="5"/>
    <cellStyle name="Vírgula" xfId="2" builtinId="3"/>
  </cellStyles>
  <dxfs count="0"/>
  <tableStyles count="0" defaultTableStyle="TableStyleMedium2" defaultPivotStyle="PivotStyleLight16"/>
  <colors>
    <mruColors>
      <color rgb="FFDFDFDF"/>
      <color rgb="FF0033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130"/>
  <sheetViews>
    <sheetView showGridLines="0" tabSelected="1" topLeftCell="B79" zoomScale="85" zoomScaleNormal="85" zoomScaleSheetLayoutView="130" workbookViewId="0">
      <selection activeCell="M97" sqref="M97"/>
    </sheetView>
  </sheetViews>
  <sheetFormatPr defaultColWidth="8.7109375" defaultRowHeight="13.15"/>
  <cols>
    <col min="1" max="1" width="7" style="9" customWidth="1"/>
    <col min="2" max="2" width="24" style="9" customWidth="1"/>
    <col min="3" max="3" width="52.7109375" style="9" customWidth="1"/>
    <col min="4" max="4" width="11" style="9" customWidth="1"/>
    <col min="5" max="5" width="11.42578125" style="9" customWidth="1"/>
    <col min="6" max="6" width="9.42578125" style="9" bestFit="1" customWidth="1"/>
    <col min="7" max="7" width="8.7109375" style="9"/>
    <col min="8" max="8" width="16.7109375" style="9" customWidth="1"/>
    <col min="9" max="9" width="17.7109375" style="9" customWidth="1"/>
    <col min="10" max="10" width="12.28515625" style="9" bestFit="1" customWidth="1"/>
    <col min="11" max="11" width="17.85546875" style="9" customWidth="1"/>
    <col min="12" max="12" width="15.28515625" style="9" customWidth="1"/>
    <col min="13" max="13" width="15.85546875" style="9" customWidth="1"/>
    <col min="14" max="14" width="18.140625" style="9" customWidth="1"/>
    <col min="15" max="15" width="18.42578125" style="9" customWidth="1"/>
    <col min="16" max="16" width="16.7109375" style="9" customWidth="1"/>
    <col min="17" max="17" width="15.5703125" style="9" customWidth="1"/>
    <col min="18" max="18" width="12.28515625" style="9" customWidth="1"/>
    <col min="19" max="16384" width="8.7109375" style="9"/>
  </cols>
  <sheetData>
    <row r="1" spans="1:18" ht="15" customHeight="1">
      <c r="A1" s="69" t="s">
        <v>0</v>
      </c>
      <c r="B1" s="70"/>
      <c r="C1" s="70"/>
      <c r="D1" s="70"/>
      <c r="E1" s="70"/>
      <c r="F1" s="70"/>
      <c r="G1" s="70"/>
      <c r="H1" s="70"/>
      <c r="I1" s="71"/>
    </row>
    <row r="2" spans="1:18">
      <c r="A2" s="72"/>
      <c r="B2" s="73"/>
      <c r="C2" s="73"/>
      <c r="D2" s="73"/>
      <c r="E2" s="73"/>
      <c r="F2" s="73"/>
      <c r="G2" s="73"/>
      <c r="H2" s="73"/>
      <c r="I2" s="74"/>
    </row>
    <row r="3" spans="1:18">
      <c r="A3" s="15" t="s">
        <v>1</v>
      </c>
      <c r="B3" s="68" t="s">
        <v>2</v>
      </c>
      <c r="C3" s="68"/>
      <c r="D3" s="15" t="s">
        <v>3</v>
      </c>
      <c r="E3" s="15" t="s">
        <v>4</v>
      </c>
      <c r="F3" s="68" t="s">
        <v>5</v>
      </c>
      <c r="G3" s="68"/>
      <c r="H3" s="68"/>
      <c r="I3" s="15" t="s">
        <v>6</v>
      </c>
    </row>
    <row r="4" spans="1:18" ht="15" customHeight="1">
      <c r="A4" s="6">
        <v>1</v>
      </c>
      <c r="B4" s="67" t="s">
        <v>7</v>
      </c>
      <c r="C4" s="67"/>
      <c r="D4" s="67"/>
      <c r="E4" s="6" t="s">
        <v>8</v>
      </c>
      <c r="F4" s="67" t="s">
        <v>9</v>
      </c>
      <c r="G4" s="67"/>
      <c r="H4" s="67"/>
      <c r="I4" s="8">
        <f>SUM(I6:I8)</f>
        <v>336000</v>
      </c>
    </row>
    <row r="5" spans="1:18" ht="32.450000000000003" customHeight="1">
      <c r="A5" s="11" t="s">
        <v>1</v>
      </c>
      <c r="B5" s="11" t="s">
        <v>10</v>
      </c>
      <c r="C5" s="11" t="s">
        <v>11</v>
      </c>
      <c r="D5" s="11" t="s">
        <v>3</v>
      </c>
      <c r="E5" s="11" t="s">
        <v>12</v>
      </c>
      <c r="F5" s="11" t="s">
        <v>4</v>
      </c>
      <c r="G5" s="11" t="s">
        <v>12</v>
      </c>
      <c r="H5" s="11" t="s">
        <v>13</v>
      </c>
      <c r="I5" s="11" t="s">
        <v>6</v>
      </c>
      <c r="K5" s="12" t="s">
        <v>14</v>
      </c>
      <c r="L5" s="12" t="s">
        <v>15</v>
      </c>
      <c r="M5" s="12" t="s">
        <v>16</v>
      </c>
      <c r="N5" s="12" t="s">
        <v>15</v>
      </c>
      <c r="O5" s="12" t="s">
        <v>17</v>
      </c>
      <c r="P5" s="12" t="s">
        <v>15</v>
      </c>
      <c r="Q5" s="12" t="s">
        <v>18</v>
      </c>
    </row>
    <row r="6" spans="1:18" ht="62.25">
      <c r="A6" s="52" t="s">
        <v>19</v>
      </c>
      <c r="B6" s="33" t="s">
        <v>20</v>
      </c>
      <c r="C6" s="33" t="s">
        <v>21</v>
      </c>
      <c r="D6" s="34">
        <v>1</v>
      </c>
      <c r="E6" s="34" t="s">
        <v>22</v>
      </c>
      <c r="F6" s="35">
        <v>12</v>
      </c>
      <c r="G6" s="36" t="s">
        <v>23</v>
      </c>
      <c r="H6" s="37">
        <v>7000</v>
      </c>
      <c r="I6" s="38">
        <f>D6*F6*H6</f>
        <v>84000</v>
      </c>
      <c r="J6" s="64"/>
      <c r="K6" s="51" t="s">
        <v>24</v>
      </c>
      <c r="L6" s="54">
        <v>10788</v>
      </c>
      <c r="M6" s="40"/>
      <c r="N6" s="41"/>
      <c r="O6" s="42"/>
      <c r="P6" s="41"/>
      <c r="Q6" s="43">
        <f>IFERROR(AVERAGE(L6,N6,P6),0)</f>
        <v>10788</v>
      </c>
      <c r="R6" s="39"/>
    </row>
    <row r="7" spans="1:18" ht="62.25">
      <c r="A7" s="52" t="s">
        <v>25</v>
      </c>
      <c r="B7" s="33" t="s">
        <v>26</v>
      </c>
      <c r="C7" s="33" t="s">
        <v>27</v>
      </c>
      <c r="D7" s="34">
        <v>1</v>
      </c>
      <c r="E7" s="34" t="s">
        <v>22</v>
      </c>
      <c r="F7" s="35">
        <v>12</v>
      </c>
      <c r="G7" s="36" t="s">
        <v>23</v>
      </c>
      <c r="H7" s="37">
        <v>3000</v>
      </c>
      <c r="I7" s="38">
        <f>H7*F7</f>
        <v>36000</v>
      </c>
      <c r="J7" s="64"/>
      <c r="K7" s="55" t="s">
        <v>28</v>
      </c>
      <c r="L7" s="56">
        <v>3000</v>
      </c>
      <c r="M7" s="26" t="s">
        <v>29</v>
      </c>
      <c r="N7" s="23">
        <v>3000</v>
      </c>
      <c r="O7" s="13" t="s">
        <v>30</v>
      </c>
      <c r="P7" s="23">
        <v>11000</v>
      </c>
      <c r="Q7" s="43">
        <f>IFERROR(AVERAGE(L7,N7,P7),0)</f>
        <v>5666.666666666667</v>
      </c>
      <c r="R7" s="39"/>
    </row>
    <row r="8" spans="1:18" ht="87.75">
      <c r="A8" s="53" t="s">
        <v>31</v>
      </c>
      <c r="B8" s="27" t="s">
        <v>32</v>
      </c>
      <c r="C8" s="27" t="s">
        <v>33</v>
      </c>
      <c r="D8" s="24">
        <v>9</v>
      </c>
      <c r="E8" s="24" t="s">
        <v>22</v>
      </c>
      <c r="F8" s="28">
        <v>12</v>
      </c>
      <c r="G8" s="1" t="s">
        <v>23</v>
      </c>
      <c r="H8" s="29">
        <v>2000</v>
      </c>
      <c r="I8" s="2">
        <f t="shared" ref="I8" si="0">D8*F8*H8</f>
        <v>216000</v>
      </c>
      <c r="J8" s="64"/>
      <c r="K8" s="51" t="s">
        <v>24</v>
      </c>
      <c r="L8" s="56">
        <v>3425.28</v>
      </c>
      <c r="M8" s="26"/>
      <c r="N8" s="23"/>
      <c r="O8" s="13"/>
      <c r="P8" s="23"/>
      <c r="Q8" s="43">
        <f>IFERROR(AVERAGE(L8,N8,P8),0)</f>
        <v>3425.28</v>
      </c>
    </row>
    <row r="10" spans="1:18" ht="15" customHeight="1">
      <c r="A10" s="10" t="s">
        <v>1</v>
      </c>
      <c r="B10" s="65" t="s">
        <v>2</v>
      </c>
      <c r="C10" s="65"/>
      <c r="D10" s="10" t="s">
        <v>3</v>
      </c>
      <c r="E10" s="10" t="s">
        <v>4</v>
      </c>
      <c r="F10" s="65" t="s">
        <v>5</v>
      </c>
      <c r="G10" s="65"/>
      <c r="H10" s="65"/>
      <c r="I10" s="10" t="s">
        <v>6</v>
      </c>
    </row>
    <row r="11" spans="1:18">
      <c r="A11" s="6">
        <v>2</v>
      </c>
      <c r="B11" s="66" t="s">
        <v>34</v>
      </c>
      <c r="C11" s="66"/>
      <c r="D11" s="66"/>
      <c r="E11" s="6" t="s">
        <v>8</v>
      </c>
      <c r="F11" s="67" t="s">
        <v>9</v>
      </c>
      <c r="G11" s="67"/>
      <c r="H11" s="67"/>
      <c r="I11" s="8">
        <f>SUM(I13:I14)</f>
        <v>379500</v>
      </c>
    </row>
    <row r="12" spans="1:18">
      <c r="A12" s="11" t="s">
        <v>1</v>
      </c>
      <c r="B12" s="11" t="s">
        <v>10</v>
      </c>
      <c r="C12" s="11" t="s">
        <v>11</v>
      </c>
      <c r="D12" s="11" t="s">
        <v>3</v>
      </c>
      <c r="E12" s="11" t="s">
        <v>12</v>
      </c>
      <c r="F12" s="11" t="s">
        <v>4</v>
      </c>
      <c r="G12" s="11" t="s">
        <v>12</v>
      </c>
      <c r="H12" s="11" t="s">
        <v>13</v>
      </c>
      <c r="I12" s="11" t="s">
        <v>6</v>
      </c>
      <c r="K12" s="12" t="s">
        <v>14</v>
      </c>
      <c r="L12" s="12" t="s">
        <v>15</v>
      </c>
      <c r="M12" s="12" t="s">
        <v>16</v>
      </c>
      <c r="N12" s="12" t="s">
        <v>15</v>
      </c>
      <c r="O12" s="12" t="s">
        <v>17</v>
      </c>
      <c r="P12" s="12" t="s">
        <v>15</v>
      </c>
      <c r="Q12" s="12" t="s">
        <v>18</v>
      </c>
    </row>
    <row r="13" spans="1:18" ht="62.25">
      <c r="A13" s="53" t="s">
        <v>35</v>
      </c>
      <c r="B13" s="53" t="s">
        <v>36</v>
      </c>
      <c r="C13" s="27" t="s">
        <v>37</v>
      </c>
      <c r="D13" s="24">
        <v>3090</v>
      </c>
      <c r="E13" s="24" t="s">
        <v>38</v>
      </c>
      <c r="F13" s="28">
        <v>1</v>
      </c>
      <c r="G13" s="1" t="s">
        <v>39</v>
      </c>
      <c r="H13" s="29">
        <v>50</v>
      </c>
      <c r="I13" s="2">
        <f>D13*F13*H13</f>
        <v>154500</v>
      </c>
      <c r="J13" s="64"/>
      <c r="K13" s="55" t="s">
        <v>40</v>
      </c>
      <c r="L13" s="56">
        <v>66.63</v>
      </c>
      <c r="M13" s="26"/>
      <c r="N13" s="23"/>
      <c r="O13" s="13"/>
      <c r="P13" s="23"/>
      <c r="Q13" s="14">
        <f t="shared" ref="Q13" si="1">AVERAGE(L13,N13,P13)</f>
        <v>66.63</v>
      </c>
    </row>
    <row r="14" spans="1:18" ht="37.5">
      <c r="A14" s="52" t="s">
        <v>41</v>
      </c>
      <c r="B14" s="52" t="s">
        <v>42</v>
      </c>
      <c r="C14" s="33" t="s">
        <v>43</v>
      </c>
      <c r="D14" s="34">
        <v>750</v>
      </c>
      <c r="E14" s="34" t="s">
        <v>12</v>
      </c>
      <c r="F14" s="35">
        <v>1</v>
      </c>
      <c r="G14" s="36" t="s">
        <v>39</v>
      </c>
      <c r="H14" s="37">
        <v>300</v>
      </c>
      <c r="I14" s="38">
        <f>D14*F14*H14</f>
        <v>225000</v>
      </c>
      <c r="J14" s="64"/>
      <c r="K14" s="51" t="s">
        <v>44</v>
      </c>
      <c r="L14" s="54">
        <v>349</v>
      </c>
      <c r="M14" s="40" t="s">
        <v>45</v>
      </c>
      <c r="N14" s="41">
        <v>481</v>
      </c>
      <c r="O14" s="42" t="s">
        <v>46</v>
      </c>
      <c r="P14" s="41">
        <v>565</v>
      </c>
      <c r="Q14" s="43">
        <f>AVERAGE(L14,N14,P14)</f>
        <v>465</v>
      </c>
      <c r="R14" s="39"/>
    </row>
    <row r="16" spans="1:18" ht="15" customHeight="1">
      <c r="A16" s="10" t="s">
        <v>1</v>
      </c>
      <c r="B16" s="65" t="s">
        <v>2</v>
      </c>
      <c r="C16" s="65"/>
      <c r="D16" s="10" t="s">
        <v>3</v>
      </c>
      <c r="E16" s="10" t="s">
        <v>4</v>
      </c>
      <c r="F16" s="65" t="s">
        <v>5</v>
      </c>
      <c r="G16" s="65"/>
      <c r="H16" s="65"/>
      <c r="I16" s="10" t="s">
        <v>6</v>
      </c>
    </row>
    <row r="17" spans="1:18">
      <c r="A17" s="6">
        <v>3</v>
      </c>
      <c r="B17" s="67" t="s">
        <v>47</v>
      </c>
      <c r="C17" s="67"/>
      <c r="D17" s="67"/>
      <c r="E17" s="6" t="s">
        <v>8</v>
      </c>
      <c r="F17" s="67" t="s">
        <v>9</v>
      </c>
      <c r="G17" s="67"/>
      <c r="H17" s="67"/>
      <c r="I17" s="8">
        <f>SUM(I19:I26)</f>
        <v>14812.7</v>
      </c>
    </row>
    <row r="18" spans="1:18">
      <c r="A18" s="11" t="s">
        <v>1</v>
      </c>
      <c r="B18" s="11" t="s">
        <v>10</v>
      </c>
      <c r="C18" s="11" t="s">
        <v>11</v>
      </c>
      <c r="D18" s="11" t="s">
        <v>3</v>
      </c>
      <c r="E18" s="11" t="s">
        <v>12</v>
      </c>
      <c r="F18" s="11" t="s">
        <v>4</v>
      </c>
      <c r="G18" s="11" t="s">
        <v>12</v>
      </c>
      <c r="H18" s="11" t="s">
        <v>13</v>
      </c>
      <c r="I18" s="11" t="s">
        <v>6</v>
      </c>
      <c r="K18" s="12" t="s">
        <v>14</v>
      </c>
      <c r="L18" s="12" t="s">
        <v>15</v>
      </c>
      <c r="M18" s="12" t="s">
        <v>16</v>
      </c>
      <c r="N18" s="12" t="s">
        <v>15</v>
      </c>
      <c r="O18" s="12" t="s">
        <v>17</v>
      </c>
      <c r="P18" s="12" t="s">
        <v>15</v>
      </c>
      <c r="Q18" s="12" t="s">
        <v>18</v>
      </c>
    </row>
    <row r="19" spans="1:18" ht="37.5">
      <c r="A19" s="53" t="s">
        <v>48</v>
      </c>
      <c r="B19" s="27" t="s">
        <v>49</v>
      </c>
      <c r="C19" s="27" t="s">
        <v>50</v>
      </c>
      <c r="D19" s="24">
        <v>50</v>
      </c>
      <c r="E19" s="24" t="s">
        <v>12</v>
      </c>
      <c r="F19" s="28">
        <v>1</v>
      </c>
      <c r="G19" s="1" t="s">
        <v>39</v>
      </c>
      <c r="H19" s="29">
        <v>140</v>
      </c>
      <c r="I19" s="2">
        <f t="shared" ref="I19:I26" si="2">D19*F19*H19</f>
        <v>7000</v>
      </c>
      <c r="J19" s="64"/>
      <c r="K19" s="26" t="s">
        <v>51</v>
      </c>
      <c r="L19" s="23">
        <v>111.06</v>
      </c>
      <c r="M19" s="26" t="s">
        <v>52</v>
      </c>
      <c r="N19" s="23">
        <v>149.99</v>
      </c>
      <c r="O19" s="13" t="s">
        <v>53</v>
      </c>
      <c r="P19" s="23">
        <v>175.74</v>
      </c>
      <c r="Q19" s="14">
        <f t="shared" ref="Q19:Q26" si="3">AVERAGE(L19,N19,P19)</f>
        <v>145.59666666666666</v>
      </c>
    </row>
    <row r="20" spans="1:18" ht="43.9" customHeight="1">
      <c r="A20" s="53" t="s">
        <v>54</v>
      </c>
      <c r="B20" s="27" t="s">
        <v>55</v>
      </c>
      <c r="C20" s="27" t="s">
        <v>56</v>
      </c>
      <c r="D20" s="24">
        <v>30</v>
      </c>
      <c r="E20" s="24" t="s">
        <v>12</v>
      </c>
      <c r="F20" s="28">
        <v>1</v>
      </c>
      <c r="G20" s="1" t="s">
        <v>39</v>
      </c>
      <c r="H20" s="29">
        <v>140</v>
      </c>
      <c r="I20" s="2">
        <f t="shared" si="2"/>
        <v>4200</v>
      </c>
      <c r="J20" s="64"/>
      <c r="K20" s="26" t="s">
        <v>57</v>
      </c>
      <c r="L20" s="23">
        <v>189.99</v>
      </c>
      <c r="M20" s="26" t="s">
        <v>51</v>
      </c>
      <c r="N20" s="23">
        <v>208.99</v>
      </c>
      <c r="O20" s="13" t="s">
        <v>58</v>
      </c>
      <c r="P20" s="23">
        <v>212.42</v>
      </c>
      <c r="Q20" s="14">
        <f t="shared" si="3"/>
        <v>203.79999999999998</v>
      </c>
    </row>
    <row r="21" spans="1:18" ht="37.5">
      <c r="A21" s="53" t="s">
        <v>59</v>
      </c>
      <c r="B21" s="27" t="s">
        <v>60</v>
      </c>
      <c r="C21" s="27" t="s">
        <v>61</v>
      </c>
      <c r="D21" s="24">
        <v>30</v>
      </c>
      <c r="E21" s="24" t="s">
        <v>62</v>
      </c>
      <c r="F21" s="28">
        <v>1</v>
      </c>
      <c r="G21" s="1" t="s">
        <v>39</v>
      </c>
      <c r="H21" s="29">
        <v>14</v>
      </c>
      <c r="I21" s="2">
        <f>D21*F21*H21</f>
        <v>420</v>
      </c>
      <c r="J21" s="64"/>
      <c r="K21" s="55" t="s">
        <v>53</v>
      </c>
      <c r="L21" s="56">
        <v>14.24</v>
      </c>
      <c r="M21" s="26" t="s">
        <v>63</v>
      </c>
      <c r="N21" s="23">
        <v>14.9</v>
      </c>
      <c r="O21" s="13" t="s">
        <v>64</v>
      </c>
      <c r="P21" s="23">
        <v>17.899999999999999</v>
      </c>
      <c r="Q21" s="14">
        <f t="shared" si="3"/>
        <v>15.68</v>
      </c>
    </row>
    <row r="22" spans="1:18" ht="37.5">
      <c r="A22" s="53" t="s">
        <v>65</v>
      </c>
      <c r="B22" s="27" t="s">
        <v>66</v>
      </c>
      <c r="C22" s="27" t="s">
        <v>67</v>
      </c>
      <c r="D22" s="24">
        <v>2</v>
      </c>
      <c r="E22" s="24" t="s">
        <v>12</v>
      </c>
      <c r="F22" s="28">
        <v>1</v>
      </c>
      <c r="G22" s="1" t="s">
        <v>39</v>
      </c>
      <c r="H22" s="29">
        <v>150</v>
      </c>
      <c r="I22" s="2">
        <f t="shared" si="2"/>
        <v>300</v>
      </c>
      <c r="J22" s="64"/>
      <c r="K22" s="26" t="s">
        <v>51</v>
      </c>
      <c r="L22" s="23">
        <v>149</v>
      </c>
      <c r="M22" s="32" t="s">
        <v>63</v>
      </c>
      <c r="N22" s="23">
        <v>150.69999999999999</v>
      </c>
      <c r="O22" s="13" t="s">
        <v>52</v>
      </c>
      <c r="P22" s="23">
        <v>169.99</v>
      </c>
      <c r="Q22" s="14">
        <f t="shared" si="3"/>
        <v>156.56333333333333</v>
      </c>
    </row>
    <row r="23" spans="1:18" ht="37.5">
      <c r="A23" s="53" t="s">
        <v>68</v>
      </c>
      <c r="B23" s="49" t="s">
        <v>69</v>
      </c>
      <c r="C23" s="49" t="s">
        <v>70</v>
      </c>
      <c r="D23" s="49">
        <v>6</v>
      </c>
      <c r="E23" s="49" t="s">
        <v>12</v>
      </c>
      <c r="F23" s="49">
        <v>1</v>
      </c>
      <c r="G23" s="49" t="s">
        <v>39</v>
      </c>
      <c r="H23" s="50">
        <v>130</v>
      </c>
      <c r="I23" s="2">
        <f t="shared" ref="I23:I24" si="4">D23*F23*H23</f>
        <v>780</v>
      </c>
      <c r="J23" s="64"/>
      <c r="K23" s="55" t="s">
        <v>71</v>
      </c>
      <c r="L23" s="56">
        <v>119.9</v>
      </c>
      <c r="M23" s="26" t="s">
        <v>51</v>
      </c>
      <c r="N23" s="23">
        <v>128.08000000000001</v>
      </c>
      <c r="O23" s="13" t="s">
        <v>72</v>
      </c>
      <c r="P23" s="23">
        <v>158.56</v>
      </c>
      <c r="Q23" s="14">
        <f t="shared" si="3"/>
        <v>135.51333333333335</v>
      </c>
    </row>
    <row r="24" spans="1:18" ht="37.5">
      <c r="A24" s="53" t="s">
        <v>73</v>
      </c>
      <c r="B24" s="49" t="s">
        <v>74</v>
      </c>
      <c r="C24" s="49" t="s">
        <v>75</v>
      </c>
      <c r="D24" s="49">
        <v>10</v>
      </c>
      <c r="E24" s="49" t="s">
        <v>12</v>
      </c>
      <c r="F24" s="49">
        <v>1</v>
      </c>
      <c r="G24" s="49" t="s">
        <v>39</v>
      </c>
      <c r="H24" s="50">
        <v>61.27</v>
      </c>
      <c r="I24" s="2">
        <f t="shared" si="4"/>
        <v>612.70000000000005</v>
      </c>
      <c r="J24" s="64"/>
      <c r="K24" s="55" t="s">
        <v>76</v>
      </c>
      <c r="L24" s="56">
        <v>66.41</v>
      </c>
      <c r="M24" s="26" t="s">
        <v>77</v>
      </c>
      <c r="N24" s="23">
        <v>75</v>
      </c>
      <c r="O24" s="13" t="s">
        <v>78</v>
      </c>
      <c r="P24" s="23">
        <v>75.91</v>
      </c>
      <c r="Q24" s="14">
        <f t="shared" si="3"/>
        <v>72.44</v>
      </c>
    </row>
    <row r="25" spans="1:18" ht="37.5">
      <c r="A25" s="53" t="s">
        <v>79</v>
      </c>
      <c r="B25" s="27" t="s">
        <v>80</v>
      </c>
      <c r="C25" s="27" t="s">
        <v>81</v>
      </c>
      <c r="D25" s="24">
        <v>10</v>
      </c>
      <c r="E25" s="24" t="s">
        <v>82</v>
      </c>
      <c r="F25" s="28">
        <v>1</v>
      </c>
      <c r="G25" s="1" t="s">
        <v>39</v>
      </c>
      <c r="H25" s="29">
        <v>50</v>
      </c>
      <c r="I25" s="2">
        <f t="shared" si="2"/>
        <v>500</v>
      </c>
      <c r="J25" s="64"/>
      <c r="K25" s="55" t="s">
        <v>83</v>
      </c>
      <c r="L25" s="56">
        <v>49.9</v>
      </c>
      <c r="M25" s="26" t="s">
        <v>52</v>
      </c>
      <c r="N25" s="23">
        <v>49.99</v>
      </c>
      <c r="O25" s="13" t="s">
        <v>84</v>
      </c>
      <c r="P25" s="23">
        <v>67.41</v>
      </c>
      <c r="Q25" s="14">
        <f t="shared" si="3"/>
        <v>55.766666666666673</v>
      </c>
    </row>
    <row r="26" spans="1:18" ht="47.45" customHeight="1">
      <c r="A26" s="53" t="s">
        <v>85</v>
      </c>
      <c r="B26" s="27" t="s">
        <v>86</v>
      </c>
      <c r="C26" s="27" t="s">
        <v>87</v>
      </c>
      <c r="D26" s="24">
        <v>2</v>
      </c>
      <c r="E26" s="24" t="s">
        <v>12</v>
      </c>
      <c r="F26" s="28">
        <v>1</v>
      </c>
      <c r="G26" s="1" t="s">
        <v>39</v>
      </c>
      <c r="H26" s="29">
        <v>500</v>
      </c>
      <c r="I26" s="2">
        <f t="shared" si="2"/>
        <v>1000</v>
      </c>
      <c r="J26" s="64"/>
      <c r="K26" s="55" t="s">
        <v>88</v>
      </c>
      <c r="L26" s="56">
        <v>429</v>
      </c>
      <c r="M26" s="26" t="s">
        <v>89</v>
      </c>
      <c r="N26" s="23">
        <v>474.91</v>
      </c>
      <c r="O26" s="13" t="s">
        <v>90</v>
      </c>
      <c r="P26" s="23">
        <v>799</v>
      </c>
      <c r="Q26" s="14">
        <f t="shared" si="3"/>
        <v>567.63666666666666</v>
      </c>
    </row>
    <row r="27" spans="1:18">
      <c r="A27" s="16"/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</row>
    <row r="28" spans="1:18">
      <c r="A28" s="10" t="s">
        <v>1</v>
      </c>
      <c r="B28" s="65" t="s">
        <v>2</v>
      </c>
      <c r="C28" s="65"/>
      <c r="D28" s="10" t="s">
        <v>3</v>
      </c>
      <c r="E28" s="10" t="s">
        <v>4</v>
      </c>
      <c r="F28" s="65" t="s">
        <v>5</v>
      </c>
      <c r="G28" s="65"/>
      <c r="H28" s="65"/>
      <c r="I28" s="10" t="s">
        <v>6</v>
      </c>
    </row>
    <row r="29" spans="1:18">
      <c r="A29" s="6">
        <v>4</v>
      </c>
      <c r="B29" s="67" t="s">
        <v>91</v>
      </c>
      <c r="C29" s="67"/>
      <c r="D29" s="67"/>
      <c r="E29" s="6" t="s">
        <v>8</v>
      </c>
      <c r="F29" s="67" t="s">
        <v>9</v>
      </c>
      <c r="G29" s="67"/>
      <c r="H29" s="67"/>
      <c r="I29" s="8">
        <f>SUM(I31:I49)</f>
        <v>126626.2</v>
      </c>
    </row>
    <row r="30" spans="1:18" ht="27" customHeight="1">
      <c r="A30" s="11" t="s">
        <v>1</v>
      </c>
      <c r="B30" s="11" t="s">
        <v>10</v>
      </c>
      <c r="C30" s="11" t="s">
        <v>11</v>
      </c>
      <c r="D30" s="11" t="s">
        <v>3</v>
      </c>
      <c r="E30" s="11" t="s">
        <v>12</v>
      </c>
      <c r="F30" s="11" t="s">
        <v>4</v>
      </c>
      <c r="G30" s="11" t="s">
        <v>12</v>
      </c>
      <c r="H30" s="11" t="s">
        <v>13</v>
      </c>
      <c r="I30" s="11" t="s">
        <v>6</v>
      </c>
      <c r="K30" s="12" t="s">
        <v>14</v>
      </c>
      <c r="L30" s="12" t="s">
        <v>15</v>
      </c>
      <c r="M30" s="12" t="s">
        <v>16</v>
      </c>
      <c r="N30" s="12" t="s">
        <v>15</v>
      </c>
      <c r="O30" s="12" t="s">
        <v>17</v>
      </c>
      <c r="P30" s="12" t="s">
        <v>15</v>
      </c>
      <c r="Q30" s="12" t="s">
        <v>18</v>
      </c>
    </row>
    <row r="31" spans="1:18" ht="37.5">
      <c r="A31" s="53" t="s">
        <v>92</v>
      </c>
      <c r="B31" s="27" t="s">
        <v>93</v>
      </c>
      <c r="C31" s="27" t="s">
        <v>94</v>
      </c>
      <c r="D31" s="24">
        <v>80</v>
      </c>
      <c r="E31" s="24" t="s">
        <v>12</v>
      </c>
      <c r="F31" s="28">
        <v>1</v>
      </c>
      <c r="G31" s="1" t="s">
        <v>39</v>
      </c>
      <c r="H31" s="29">
        <v>100</v>
      </c>
      <c r="I31" s="2">
        <f t="shared" ref="I31:I36" si="5">D31*F31*H31</f>
        <v>8000</v>
      </c>
      <c r="J31" s="64"/>
      <c r="K31" s="55" t="s">
        <v>95</v>
      </c>
      <c r="L31" s="56">
        <v>105.36</v>
      </c>
      <c r="M31" s="26" t="s">
        <v>51</v>
      </c>
      <c r="N31" s="23">
        <v>109.77</v>
      </c>
      <c r="O31" s="13" t="s">
        <v>53</v>
      </c>
      <c r="P31" s="23">
        <v>109.9</v>
      </c>
      <c r="Q31" s="14">
        <f t="shared" ref="Q31:Q49" si="6">AVERAGE(L31,N31,P31)</f>
        <v>108.34333333333332</v>
      </c>
    </row>
    <row r="32" spans="1:18" ht="41.45" customHeight="1">
      <c r="A32" s="53" t="s">
        <v>96</v>
      </c>
      <c r="B32" s="27" t="s">
        <v>97</v>
      </c>
      <c r="C32" s="27" t="s">
        <v>98</v>
      </c>
      <c r="D32" s="24">
        <v>90</v>
      </c>
      <c r="E32" s="24" t="s">
        <v>12</v>
      </c>
      <c r="F32" s="28">
        <v>1</v>
      </c>
      <c r="G32" s="1" t="s">
        <v>39</v>
      </c>
      <c r="H32" s="29">
        <v>100</v>
      </c>
      <c r="I32" s="2">
        <f t="shared" si="5"/>
        <v>9000</v>
      </c>
      <c r="J32" s="64"/>
      <c r="K32" s="55" t="s">
        <v>95</v>
      </c>
      <c r="L32" s="56">
        <v>104.4</v>
      </c>
      <c r="M32" s="26" t="s">
        <v>99</v>
      </c>
      <c r="N32" s="23">
        <v>123.35</v>
      </c>
      <c r="O32" s="13" t="s">
        <v>51</v>
      </c>
      <c r="P32" s="41">
        <v>123.35</v>
      </c>
      <c r="Q32" s="14">
        <f t="shared" si="6"/>
        <v>117.03333333333335</v>
      </c>
    </row>
    <row r="33" spans="1:17" ht="37.5">
      <c r="A33" s="53" t="s">
        <v>100</v>
      </c>
      <c r="B33" s="27" t="s">
        <v>101</v>
      </c>
      <c r="C33" s="27" t="s">
        <v>102</v>
      </c>
      <c r="D33" s="24">
        <v>120</v>
      </c>
      <c r="E33" s="24" t="s">
        <v>12</v>
      </c>
      <c r="F33" s="28">
        <v>1</v>
      </c>
      <c r="G33" s="1" t="s">
        <v>39</v>
      </c>
      <c r="H33" s="29">
        <v>100</v>
      </c>
      <c r="I33" s="2">
        <f t="shared" si="5"/>
        <v>12000</v>
      </c>
      <c r="J33" s="64"/>
      <c r="K33" s="55" t="s">
        <v>95</v>
      </c>
      <c r="L33" s="56">
        <v>104.4</v>
      </c>
      <c r="M33" s="26" t="s">
        <v>99</v>
      </c>
      <c r="N33" s="23">
        <v>123.35</v>
      </c>
      <c r="O33" s="13" t="s">
        <v>51</v>
      </c>
      <c r="P33" s="41">
        <v>123.35</v>
      </c>
      <c r="Q33" s="14">
        <f t="shared" si="6"/>
        <v>117.03333333333335</v>
      </c>
    </row>
    <row r="34" spans="1:17" ht="50.25">
      <c r="A34" s="53" t="s">
        <v>103</v>
      </c>
      <c r="B34" s="27" t="s">
        <v>104</v>
      </c>
      <c r="C34" s="27" t="s">
        <v>105</v>
      </c>
      <c r="D34" s="24">
        <v>400</v>
      </c>
      <c r="E34" s="24" t="s">
        <v>12</v>
      </c>
      <c r="F34" s="28">
        <v>1</v>
      </c>
      <c r="G34" s="1" t="s">
        <v>39</v>
      </c>
      <c r="H34" s="29">
        <v>40</v>
      </c>
      <c r="I34" s="2">
        <f t="shared" si="5"/>
        <v>16000</v>
      </c>
      <c r="J34" s="64"/>
      <c r="K34" s="26" t="s">
        <v>63</v>
      </c>
      <c r="L34" s="23">
        <v>50.9</v>
      </c>
      <c r="M34" s="26" t="s">
        <v>53</v>
      </c>
      <c r="N34" s="23">
        <v>72.31</v>
      </c>
      <c r="O34" s="13" t="s">
        <v>51</v>
      </c>
      <c r="P34" s="23">
        <v>79.989999999999995</v>
      </c>
      <c r="Q34" s="14">
        <f t="shared" si="6"/>
        <v>67.733333333333334</v>
      </c>
    </row>
    <row r="35" spans="1:17" ht="50.25">
      <c r="A35" s="53" t="s">
        <v>106</v>
      </c>
      <c r="B35" s="27" t="s">
        <v>107</v>
      </c>
      <c r="C35" s="27" t="s">
        <v>108</v>
      </c>
      <c r="D35" s="24">
        <v>2</v>
      </c>
      <c r="E35" s="24" t="s">
        <v>12</v>
      </c>
      <c r="F35" s="28">
        <v>1</v>
      </c>
      <c r="G35" s="1" t="s">
        <v>39</v>
      </c>
      <c r="H35" s="29">
        <v>50</v>
      </c>
      <c r="I35" s="2">
        <f t="shared" si="5"/>
        <v>100</v>
      </c>
      <c r="J35" s="64"/>
      <c r="K35" s="26" t="s">
        <v>64</v>
      </c>
      <c r="L35" s="23">
        <v>49.9</v>
      </c>
      <c r="M35" s="26" t="s">
        <v>109</v>
      </c>
      <c r="N35" s="23">
        <v>59.99</v>
      </c>
      <c r="O35" s="40" t="s">
        <v>53</v>
      </c>
      <c r="P35" s="23">
        <v>75.989999999999995</v>
      </c>
      <c r="Q35" s="14">
        <f t="shared" si="6"/>
        <v>61.96</v>
      </c>
    </row>
    <row r="36" spans="1:17" ht="50.25">
      <c r="A36" s="53" t="s">
        <v>110</v>
      </c>
      <c r="B36" s="27" t="s">
        <v>111</v>
      </c>
      <c r="C36" s="27" t="s">
        <v>112</v>
      </c>
      <c r="D36" s="24">
        <v>4</v>
      </c>
      <c r="E36" s="24" t="s">
        <v>12</v>
      </c>
      <c r="F36" s="28">
        <v>1</v>
      </c>
      <c r="G36" s="1" t="s">
        <v>39</v>
      </c>
      <c r="H36" s="29">
        <v>70</v>
      </c>
      <c r="I36" s="2">
        <f t="shared" si="5"/>
        <v>280</v>
      </c>
      <c r="J36" s="64"/>
      <c r="K36" s="26" t="s">
        <v>53</v>
      </c>
      <c r="L36" s="23">
        <v>75.989999999999995</v>
      </c>
      <c r="M36" s="26" t="s">
        <v>63</v>
      </c>
      <c r="N36" s="23">
        <v>96</v>
      </c>
      <c r="O36" s="13" t="s">
        <v>52</v>
      </c>
      <c r="P36" s="23">
        <v>109.99</v>
      </c>
      <c r="Q36" s="14">
        <f t="shared" si="6"/>
        <v>93.993333333333339</v>
      </c>
    </row>
    <row r="37" spans="1:17" ht="62.25">
      <c r="A37" s="53" t="s">
        <v>113</v>
      </c>
      <c r="B37" s="52" t="s">
        <v>114</v>
      </c>
      <c r="C37" s="33" t="s">
        <v>115</v>
      </c>
      <c r="D37" s="24">
        <v>400</v>
      </c>
      <c r="E37" s="24" t="s">
        <v>12</v>
      </c>
      <c r="F37" s="28">
        <v>1</v>
      </c>
      <c r="G37" s="1" t="s">
        <v>39</v>
      </c>
      <c r="H37" s="29">
        <v>40</v>
      </c>
      <c r="I37" s="2">
        <f t="shared" ref="I37:I47" si="7">D37*F37*H37</f>
        <v>16000</v>
      </c>
      <c r="J37" s="64"/>
      <c r="K37" s="40" t="s">
        <v>64</v>
      </c>
      <c r="L37" s="41">
        <v>54.9</v>
      </c>
      <c r="M37" s="40" t="s">
        <v>57</v>
      </c>
      <c r="N37" s="41">
        <v>66.489999999999995</v>
      </c>
      <c r="O37" s="42" t="s">
        <v>53</v>
      </c>
      <c r="P37" s="41">
        <v>85.49</v>
      </c>
      <c r="Q37" s="43">
        <f t="shared" si="6"/>
        <v>68.959999999999994</v>
      </c>
    </row>
    <row r="38" spans="1:17" ht="37.5">
      <c r="A38" s="53" t="s">
        <v>116</v>
      </c>
      <c r="B38" s="27" t="s">
        <v>117</v>
      </c>
      <c r="C38" s="27" t="s">
        <v>118</v>
      </c>
      <c r="D38" s="24">
        <v>400</v>
      </c>
      <c r="E38" s="24" t="s">
        <v>12</v>
      </c>
      <c r="F38" s="28">
        <v>1</v>
      </c>
      <c r="G38" s="1" t="s">
        <v>119</v>
      </c>
      <c r="H38" s="29">
        <v>15</v>
      </c>
      <c r="I38" s="2">
        <f t="shared" si="7"/>
        <v>6000</v>
      </c>
      <c r="J38" s="64"/>
      <c r="K38" s="55" t="s">
        <v>53</v>
      </c>
      <c r="L38" s="56">
        <v>13.5</v>
      </c>
      <c r="M38" s="26" t="s">
        <v>51</v>
      </c>
      <c r="N38" s="23">
        <v>25.48</v>
      </c>
      <c r="O38" s="13" t="s">
        <v>58</v>
      </c>
      <c r="P38" s="23">
        <v>27.29</v>
      </c>
      <c r="Q38" s="14">
        <f t="shared" si="6"/>
        <v>22.090000000000003</v>
      </c>
    </row>
    <row r="39" spans="1:17" ht="24.75">
      <c r="A39" s="53" t="s">
        <v>120</v>
      </c>
      <c r="B39" s="27" t="s">
        <v>121</v>
      </c>
      <c r="C39" s="53" t="s">
        <v>122</v>
      </c>
      <c r="D39" s="24">
        <v>80</v>
      </c>
      <c r="E39" s="24" t="s">
        <v>82</v>
      </c>
      <c r="F39" s="28">
        <v>1</v>
      </c>
      <c r="G39" s="1" t="s">
        <v>119</v>
      </c>
      <c r="H39" s="29">
        <v>19.899999999999999</v>
      </c>
      <c r="I39" s="2">
        <f t="shared" si="7"/>
        <v>1592</v>
      </c>
      <c r="J39" s="64"/>
      <c r="K39" s="55" t="s">
        <v>53</v>
      </c>
      <c r="L39" s="56">
        <v>28.99</v>
      </c>
      <c r="M39" s="26" t="s">
        <v>64</v>
      </c>
      <c r="N39" s="23">
        <v>34.9</v>
      </c>
      <c r="O39" s="13" t="s">
        <v>51</v>
      </c>
      <c r="P39" s="23">
        <v>38.47</v>
      </c>
      <c r="Q39" s="14">
        <f t="shared" si="6"/>
        <v>34.119999999999997</v>
      </c>
    </row>
    <row r="40" spans="1:17" ht="24.75">
      <c r="A40" s="53" t="s">
        <v>123</v>
      </c>
      <c r="B40" s="27" t="s">
        <v>124</v>
      </c>
      <c r="C40" s="53" t="s">
        <v>125</v>
      </c>
      <c r="D40" s="24">
        <v>90</v>
      </c>
      <c r="E40" s="24" t="s">
        <v>82</v>
      </c>
      <c r="F40" s="28">
        <v>1</v>
      </c>
      <c r="G40" s="1" t="s">
        <v>119</v>
      </c>
      <c r="H40" s="29">
        <v>19.899999999999999</v>
      </c>
      <c r="I40" s="2">
        <f>D40*F40*H40</f>
        <v>1790.9999999999998</v>
      </c>
      <c r="J40" s="64"/>
      <c r="K40" s="55" t="s">
        <v>53</v>
      </c>
      <c r="L40" s="56">
        <v>28.99</v>
      </c>
      <c r="M40" s="26" t="s">
        <v>64</v>
      </c>
      <c r="N40" s="23">
        <v>34.9</v>
      </c>
      <c r="O40" s="13" t="s">
        <v>51</v>
      </c>
      <c r="P40" s="23">
        <v>38.47</v>
      </c>
      <c r="Q40" s="14">
        <f t="shared" si="6"/>
        <v>34.119999999999997</v>
      </c>
    </row>
    <row r="41" spans="1:17" ht="24.75">
      <c r="A41" s="53" t="s">
        <v>126</v>
      </c>
      <c r="B41" s="27" t="s">
        <v>127</v>
      </c>
      <c r="C41" s="53" t="s">
        <v>128</v>
      </c>
      <c r="D41" s="24">
        <v>120</v>
      </c>
      <c r="E41" s="24" t="s">
        <v>82</v>
      </c>
      <c r="F41" s="28">
        <v>1</v>
      </c>
      <c r="G41" s="1" t="s">
        <v>119</v>
      </c>
      <c r="H41" s="29">
        <v>19.899999999999999</v>
      </c>
      <c r="I41" s="2">
        <f>D41*F41*H41</f>
        <v>2388</v>
      </c>
      <c r="J41" s="64"/>
      <c r="K41" s="55" t="s">
        <v>53</v>
      </c>
      <c r="L41" s="56">
        <v>28.99</v>
      </c>
      <c r="M41" s="26" t="s">
        <v>64</v>
      </c>
      <c r="N41" s="23">
        <v>34.9</v>
      </c>
      <c r="O41" s="13" t="s">
        <v>51</v>
      </c>
      <c r="P41" s="23">
        <v>38.47</v>
      </c>
      <c r="Q41" s="14">
        <f t="shared" si="6"/>
        <v>34.119999999999997</v>
      </c>
    </row>
    <row r="42" spans="1:17" ht="37.5">
      <c r="A42" s="53" t="s">
        <v>129</v>
      </c>
      <c r="B42" s="27" t="s">
        <v>130</v>
      </c>
      <c r="C42" s="53" t="s">
        <v>131</v>
      </c>
      <c r="D42" s="24">
        <v>309</v>
      </c>
      <c r="E42" s="24" t="s">
        <v>12</v>
      </c>
      <c r="F42" s="28">
        <v>1</v>
      </c>
      <c r="G42" s="1" t="s">
        <v>39</v>
      </c>
      <c r="H42" s="29">
        <v>100</v>
      </c>
      <c r="I42" s="2">
        <f>D42*F42*H42</f>
        <v>30900</v>
      </c>
      <c r="J42" s="64"/>
      <c r="K42" s="51" t="s">
        <v>53</v>
      </c>
      <c r="L42" s="54">
        <v>94.99</v>
      </c>
      <c r="M42" s="40" t="s">
        <v>51</v>
      </c>
      <c r="N42" s="41">
        <v>111.06</v>
      </c>
      <c r="O42" s="42" t="s">
        <v>63</v>
      </c>
      <c r="P42" s="41">
        <v>118.99</v>
      </c>
      <c r="Q42" s="43">
        <f t="shared" si="6"/>
        <v>108.34666666666668</v>
      </c>
    </row>
    <row r="43" spans="1:17" ht="40.15" customHeight="1">
      <c r="A43" s="53" t="s">
        <v>132</v>
      </c>
      <c r="B43" s="27" t="s">
        <v>133</v>
      </c>
      <c r="C43" s="27" t="s">
        <v>134</v>
      </c>
      <c r="D43" s="24">
        <v>30</v>
      </c>
      <c r="E43" s="24" t="s">
        <v>12</v>
      </c>
      <c r="F43" s="28">
        <v>1</v>
      </c>
      <c r="G43" s="1" t="s">
        <v>39</v>
      </c>
      <c r="H43" s="29">
        <v>200</v>
      </c>
      <c r="I43" s="2">
        <f t="shared" si="7"/>
        <v>6000</v>
      </c>
      <c r="J43" s="64"/>
      <c r="K43" s="51" t="s">
        <v>51</v>
      </c>
      <c r="L43" s="54">
        <v>189.9</v>
      </c>
      <c r="M43" s="40" t="s">
        <v>76</v>
      </c>
      <c r="N43" s="41">
        <v>189.91</v>
      </c>
      <c r="O43" s="42" t="s">
        <v>63</v>
      </c>
      <c r="P43" s="41">
        <v>249.99</v>
      </c>
      <c r="Q43" s="43">
        <f t="shared" si="6"/>
        <v>209.93333333333331</v>
      </c>
    </row>
    <row r="44" spans="1:17" ht="37.5">
      <c r="A44" s="53" t="s">
        <v>135</v>
      </c>
      <c r="B44" s="27" t="s">
        <v>136</v>
      </c>
      <c r="C44" s="27" t="s">
        <v>137</v>
      </c>
      <c r="D44" s="24">
        <v>30</v>
      </c>
      <c r="E44" s="24" t="s">
        <v>12</v>
      </c>
      <c r="F44" s="28">
        <v>1</v>
      </c>
      <c r="G44" s="1" t="s">
        <v>39</v>
      </c>
      <c r="H44" s="29">
        <v>30</v>
      </c>
      <c r="I44" s="2">
        <f t="shared" si="7"/>
        <v>900</v>
      </c>
      <c r="J44" s="64"/>
      <c r="K44" s="26" t="s">
        <v>63</v>
      </c>
      <c r="L44" s="23">
        <v>31.05</v>
      </c>
      <c r="M44" s="26" t="s">
        <v>76</v>
      </c>
      <c r="N44" s="23">
        <v>37.909999999999997</v>
      </c>
      <c r="O44" s="13" t="s">
        <v>138</v>
      </c>
      <c r="P44" s="23">
        <v>49</v>
      </c>
      <c r="Q44" s="14">
        <f t="shared" si="6"/>
        <v>39.32</v>
      </c>
    </row>
    <row r="45" spans="1:17" ht="57.6" customHeight="1">
      <c r="A45" s="53" t="s">
        <v>139</v>
      </c>
      <c r="B45" s="27" t="s">
        <v>140</v>
      </c>
      <c r="C45" s="27" t="s">
        <v>141</v>
      </c>
      <c r="D45" s="24">
        <v>20</v>
      </c>
      <c r="E45" s="24" t="s">
        <v>12</v>
      </c>
      <c r="F45" s="28">
        <v>1</v>
      </c>
      <c r="G45" s="1" t="s">
        <v>39</v>
      </c>
      <c r="H45" s="29">
        <v>100</v>
      </c>
      <c r="I45" s="2">
        <f t="shared" si="7"/>
        <v>2000</v>
      </c>
      <c r="J45" s="64"/>
      <c r="K45" s="26" t="s">
        <v>142</v>
      </c>
      <c r="L45" s="23">
        <v>137.75</v>
      </c>
      <c r="M45" s="26"/>
      <c r="N45" s="23"/>
      <c r="O45" s="13"/>
      <c r="P45" s="23"/>
      <c r="Q45" s="14">
        <f t="shared" si="6"/>
        <v>137.75</v>
      </c>
    </row>
    <row r="46" spans="1:17" ht="48">
      <c r="A46" s="53" t="s">
        <v>143</v>
      </c>
      <c r="B46" s="27" t="s">
        <v>144</v>
      </c>
      <c r="C46" s="27" t="s">
        <v>145</v>
      </c>
      <c r="D46" s="24">
        <v>40</v>
      </c>
      <c r="E46" s="24" t="s">
        <v>12</v>
      </c>
      <c r="F46" s="28">
        <v>1</v>
      </c>
      <c r="G46" s="1" t="s">
        <v>39</v>
      </c>
      <c r="H46" s="29">
        <v>39.78</v>
      </c>
      <c r="I46" s="2">
        <f t="shared" si="7"/>
        <v>1591.2</v>
      </c>
      <c r="J46" s="64"/>
      <c r="K46" s="26" t="s">
        <v>146</v>
      </c>
      <c r="L46" s="29">
        <v>39.78</v>
      </c>
      <c r="M46" s="26"/>
      <c r="N46" s="23"/>
      <c r="O46" s="13"/>
      <c r="P46" s="23"/>
      <c r="Q46" s="14">
        <f t="shared" si="6"/>
        <v>39.78</v>
      </c>
    </row>
    <row r="47" spans="1:17" ht="48">
      <c r="A47" s="53" t="s">
        <v>147</v>
      </c>
      <c r="B47" s="27" t="s">
        <v>148</v>
      </c>
      <c r="C47" s="27" t="s">
        <v>149</v>
      </c>
      <c r="D47" s="24">
        <v>20</v>
      </c>
      <c r="E47" s="24" t="s">
        <v>12</v>
      </c>
      <c r="F47" s="28">
        <v>1</v>
      </c>
      <c r="G47" s="1" t="s">
        <v>39</v>
      </c>
      <c r="H47" s="29">
        <v>30</v>
      </c>
      <c r="I47" s="2">
        <f t="shared" si="7"/>
        <v>600</v>
      </c>
      <c r="J47" s="64"/>
      <c r="K47" s="26" t="s">
        <v>150</v>
      </c>
      <c r="L47" s="23">
        <v>37</v>
      </c>
      <c r="M47" s="26"/>
      <c r="N47" s="23"/>
      <c r="O47" s="13"/>
      <c r="P47" s="23"/>
      <c r="Q47" s="14">
        <f t="shared" si="6"/>
        <v>37</v>
      </c>
    </row>
    <row r="48" spans="1:17" ht="37.5">
      <c r="A48" s="53" t="s">
        <v>151</v>
      </c>
      <c r="B48" s="27" t="s">
        <v>152</v>
      </c>
      <c r="C48" s="27" t="s">
        <v>153</v>
      </c>
      <c r="D48" s="24">
        <v>330</v>
      </c>
      <c r="E48" s="24" t="s">
        <v>12</v>
      </c>
      <c r="F48" s="28">
        <v>1</v>
      </c>
      <c r="G48" s="1" t="s">
        <v>39</v>
      </c>
      <c r="H48" s="29">
        <v>30</v>
      </c>
      <c r="I48" s="2">
        <f t="shared" ref="I48:I49" si="8">D48*F48*H48</f>
        <v>9900</v>
      </c>
      <c r="J48" s="64"/>
      <c r="K48" s="26" t="s">
        <v>63</v>
      </c>
      <c r="L48" s="23">
        <v>29.9</v>
      </c>
      <c r="M48" s="26" t="s">
        <v>51</v>
      </c>
      <c r="N48" s="23">
        <v>29.99</v>
      </c>
      <c r="O48" s="13" t="s">
        <v>53</v>
      </c>
      <c r="P48" s="23">
        <v>35.99</v>
      </c>
      <c r="Q48" s="14">
        <f t="shared" si="6"/>
        <v>31.959999999999997</v>
      </c>
    </row>
    <row r="49" spans="1:18" ht="62.25">
      <c r="A49" s="53" t="s">
        <v>154</v>
      </c>
      <c r="B49" s="27" t="s">
        <v>155</v>
      </c>
      <c r="C49" s="27" t="s">
        <v>156</v>
      </c>
      <c r="D49" s="24">
        <v>80</v>
      </c>
      <c r="E49" s="24" t="s">
        <v>12</v>
      </c>
      <c r="F49" s="28">
        <v>1</v>
      </c>
      <c r="G49" s="1" t="s">
        <v>39</v>
      </c>
      <c r="H49" s="29">
        <v>19.8</v>
      </c>
      <c r="I49" s="2">
        <f t="shared" si="8"/>
        <v>1584</v>
      </c>
      <c r="J49" s="64"/>
      <c r="K49" s="26" t="s">
        <v>157</v>
      </c>
      <c r="L49" s="29">
        <v>19.8</v>
      </c>
      <c r="M49" s="26"/>
      <c r="N49" s="23"/>
      <c r="O49" s="13"/>
      <c r="P49" s="23"/>
      <c r="Q49" s="14">
        <f t="shared" si="6"/>
        <v>19.8</v>
      </c>
    </row>
    <row r="50" spans="1:18" ht="21" customHeight="1">
      <c r="A50" s="16"/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</row>
    <row r="51" spans="1:18">
      <c r="A51" s="10" t="s">
        <v>1</v>
      </c>
      <c r="B51" s="65" t="s">
        <v>2</v>
      </c>
      <c r="C51" s="65"/>
      <c r="D51" s="10" t="s">
        <v>3</v>
      </c>
      <c r="E51" s="10" t="s">
        <v>4</v>
      </c>
      <c r="F51" s="65" t="s">
        <v>5</v>
      </c>
      <c r="G51" s="65"/>
      <c r="H51" s="65"/>
      <c r="I51" s="10" t="s">
        <v>6</v>
      </c>
    </row>
    <row r="52" spans="1:18">
      <c r="A52" s="6">
        <v>5</v>
      </c>
      <c r="B52" s="67" t="s">
        <v>158</v>
      </c>
      <c r="C52" s="67"/>
      <c r="D52" s="67"/>
      <c r="E52" s="6" t="s">
        <v>8</v>
      </c>
      <c r="F52" s="67" t="s">
        <v>9</v>
      </c>
      <c r="G52" s="67"/>
      <c r="H52" s="67"/>
      <c r="I52" s="8">
        <f>SUM(I54:I56)</f>
        <v>11240</v>
      </c>
    </row>
    <row r="53" spans="1:18">
      <c r="A53" s="11" t="s">
        <v>1</v>
      </c>
      <c r="B53" s="11" t="s">
        <v>10</v>
      </c>
      <c r="C53" s="11" t="s">
        <v>11</v>
      </c>
      <c r="D53" s="11" t="s">
        <v>3</v>
      </c>
      <c r="E53" s="11" t="s">
        <v>12</v>
      </c>
      <c r="F53" s="11" t="s">
        <v>4</v>
      </c>
      <c r="G53" s="11" t="s">
        <v>12</v>
      </c>
      <c r="H53" s="11" t="s">
        <v>13</v>
      </c>
      <c r="I53" s="11" t="s">
        <v>6</v>
      </c>
      <c r="K53" s="48" t="s">
        <v>14</v>
      </c>
      <c r="L53" s="48" t="s">
        <v>15</v>
      </c>
      <c r="M53" s="48" t="s">
        <v>16</v>
      </c>
      <c r="N53" s="48" t="s">
        <v>15</v>
      </c>
      <c r="O53" s="48" t="s">
        <v>17</v>
      </c>
      <c r="P53" s="48" t="s">
        <v>15</v>
      </c>
      <c r="Q53" s="48" t="s">
        <v>18</v>
      </c>
    </row>
    <row r="54" spans="1:18" ht="37.5">
      <c r="A54" s="53" t="s">
        <v>159</v>
      </c>
      <c r="B54" s="27" t="s">
        <v>160</v>
      </c>
      <c r="C54" s="27" t="s">
        <v>161</v>
      </c>
      <c r="D54" s="24">
        <v>5</v>
      </c>
      <c r="E54" s="24" t="s">
        <v>12</v>
      </c>
      <c r="F54" s="28">
        <v>1</v>
      </c>
      <c r="G54" s="1" t="s">
        <v>39</v>
      </c>
      <c r="H54" s="29">
        <v>600</v>
      </c>
      <c r="I54" s="2">
        <f t="shared" ref="I54:I56" si="9">D54*F54*H54</f>
        <v>3000</v>
      </c>
      <c r="J54" s="64"/>
      <c r="K54" s="40" t="s">
        <v>52</v>
      </c>
      <c r="L54" s="41">
        <v>462.99</v>
      </c>
      <c r="M54" s="40" t="s">
        <v>162</v>
      </c>
      <c r="N54" s="41">
        <v>626.51</v>
      </c>
      <c r="O54" s="42" t="s">
        <v>163</v>
      </c>
      <c r="P54" s="41">
        <v>1104</v>
      </c>
      <c r="Q54" s="43">
        <f>AVERAGE(L54,N54,P54)</f>
        <v>731.16666666666663</v>
      </c>
    </row>
    <row r="55" spans="1:18" ht="50.25">
      <c r="A55" s="53" t="s">
        <v>164</v>
      </c>
      <c r="B55" s="27" t="s">
        <v>165</v>
      </c>
      <c r="C55" s="27" t="s">
        <v>166</v>
      </c>
      <c r="D55" s="24">
        <v>5</v>
      </c>
      <c r="E55" s="24" t="s">
        <v>12</v>
      </c>
      <c r="F55" s="28">
        <v>1</v>
      </c>
      <c r="G55" s="1" t="s">
        <v>39</v>
      </c>
      <c r="H55" s="29">
        <v>1600</v>
      </c>
      <c r="I55" s="2">
        <f t="shared" si="9"/>
        <v>8000</v>
      </c>
      <c r="J55" s="64"/>
      <c r="K55" s="40" t="s">
        <v>63</v>
      </c>
      <c r="L55" s="41">
        <v>1978.79</v>
      </c>
      <c r="M55" s="40" t="s">
        <v>52</v>
      </c>
      <c r="N55" s="41">
        <v>2089.9899999999998</v>
      </c>
      <c r="O55" s="42" t="s">
        <v>51</v>
      </c>
      <c r="P55" s="41">
        <v>2299.9899999999998</v>
      </c>
      <c r="Q55" s="43">
        <f>AVERAGE(L55,N55,P55)</f>
        <v>2122.9233333333332</v>
      </c>
    </row>
    <row r="56" spans="1:18" ht="62.25">
      <c r="A56" s="53" t="s">
        <v>167</v>
      </c>
      <c r="B56" s="27" t="s">
        <v>168</v>
      </c>
      <c r="C56" s="27" t="s">
        <v>169</v>
      </c>
      <c r="D56" s="24">
        <v>4</v>
      </c>
      <c r="E56" s="24" t="s">
        <v>12</v>
      </c>
      <c r="F56" s="28">
        <v>1</v>
      </c>
      <c r="G56" s="1" t="s">
        <v>39</v>
      </c>
      <c r="H56" s="29">
        <v>60</v>
      </c>
      <c r="I56" s="2">
        <f t="shared" si="9"/>
        <v>240</v>
      </c>
      <c r="J56" s="64"/>
      <c r="K56" s="40" t="s">
        <v>58</v>
      </c>
      <c r="L56" s="41">
        <v>41.6</v>
      </c>
      <c r="M56" s="40" t="s">
        <v>52</v>
      </c>
      <c r="N56" s="41">
        <v>69.900000000000006</v>
      </c>
      <c r="O56" s="42" t="s">
        <v>51</v>
      </c>
      <c r="P56" s="41">
        <v>99.9</v>
      </c>
      <c r="Q56" s="43">
        <f>AVERAGE(L56,N56,P56)</f>
        <v>70.466666666666669</v>
      </c>
    </row>
    <row r="57" spans="1:18">
      <c r="A57" s="16"/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</row>
    <row r="58" spans="1:18">
      <c r="A58" s="10" t="s">
        <v>1</v>
      </c>
      <c r="B58" s="65" t="s">
        <v>2</v>
      </c>
      <c r="C58" s="65"/>
      <c r="D58" s="10" t="s">
        <v>3</v>
      </c>
      <c r="E58" s="10" t="s">
        <v>4</v>
      </c>
      <c r="F58" s="65" t="s">
        <v>5</v>
      </c>
      <c r="G58" s="65"/>
      <c r="H58" s="65"/>
      <c r="I58" s="10" t="s">
        <v>6</v>
      </c>
    </row>
    <row r="59" spans="1:18" ht="15.6" customHeight="1">
      <c r="A59" s="6">
        <v>6</v>
      </c>
      <c r="B59" s="67" t="s">
        <v>170</v>
      </c>
      <c r="C59" s="67"/>
      <c r="D59" s="67"/>
      <c r="E59" s="6" t="s">
        <v>8</v>
      </c>
      <c r="F59" s="67" t="s">
        <v>9</v>
      </c>
      <c r="G59" s="67"/>
      <c r="H59" s="67"/>
      <c r="I59" s="8">
        <f>SUM(I61:I61)</f>
        <v>96000</v>
      </c>
    </row>
    <row r="60" spans="1:18">
      <c r="A60" s="11" t="s">
        <v>1</v>
      </c>
      <c r="B60" s="11" t="s">
        <v>10</v>
      </c>
      <c r="C60" s="11" t="s">
        <v>11</v>
      </c>
      <c r="D60" s="11" t="s">
        <v>3</v>
      </c>
      <c r="E60" s="11" t="s">
        <v>12</v>
      </c>
      <c r="F60" s="11" t="s">
        <v>4</v>
      </c>
      <c r="G60" s="11" t="s">
        <v>12</v>
      </c>
      <c r="H60" s="11" t="s">
        <v>13</v>
      </c>
      <c r="I60" s="11" t="s">
        <v>6</v>
      </c>
      <c r="K60" s="12" t="s">
        <v>14</v>
      </c>
      <c r="L60" s="12" t="s">
        <v>15</v>
      </c>
      <c r="M60" s="12" t="s">
        <v>16</v>
      </c>
      <c r="N60" s="12" t="s">
        <v>15</v>
      </c>
      <c r="O60" s="12" t="s">
        <v>17</v>
      </c>
      <c r="P60" s="12" t="s">
        <v>15</v>
      </c>
      <c r="Q60" s="12" t="s">
        <v>18</v>
      </c>
    </row>
    <row r="61" spans="1:18" ht="62.25">
      <c r="A61" s="57" t="s">
        <v>171</v>
      </c>
      <c r="B61" s="57" t="s">
        <v>172</v>
      </c>
      <c r="C61" s="57" t="s">
        <v>173</v>
      </c>
      <c r="D61" s="58">
        <v>1</v>
      </c>
      <c r="E61" s="58" t="s">
        <v>174</v>
      </c>
      <c r="F61" s="59">
        <v>12</v>
      </c>
      <c r="G61" s="60" t="s">
        <v>23</v>
      </c>
      <c r="H61" s="61">
        <v>8000</v>
      </c>
      <c r="I61" s="62">
        <f>D61*F61*H61</f>
        <v>96000</v>
      </c>
      <c r="J61" s="64"/>
      <c r="K61" s="26" t="s">
        <v>40</v>
      </c>
      <c r="L61" s="23">
        <v>12949.67</v>
      </c>
      <c r="M61" s="26"/>
      <c r="N61" s="23"/>
      <c r="O61" s="13"/>
      <c r="P61" s="23"/>
      <c r="Q61" s="14">
        <f>AVERAGE(L61,N61,P61)</f>
        <v>12949.67</v>
      </c>
    </row>
    <row r="62" spans="1:18" ht="16.899999999999999" customHeight="1">
      <c r="A62" s="16"/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</row>
    <row r="63" spans="1:18" ht="22.15" customHeight="1">
      <c r="A63" s="10" t="s">
        <v>1</v>
      </c>
      <c r="B63" s="65" t="s">
        <v>2</v>
      </c>
      <c r="C63" s="65"/>
      <c r="D63" s="10" t="s">
        <v>3</v>
      </c>
      <c r="E63" s="10" t="s">
        <v>4</v>
      </c>
      <c r="F63" s="65" t="s">
        <v>5</v>
      </c>
      <c r="G63" s="65"/>
      <c r="H63" s="65"/>
      <c r="I63" s="10" t="s">
        <v>6</v>
      </c>
    </row>
    <row r="64" spans="1:18" ht="24" customHeight="1">
      <c r="A64" s="6">
        <v>7</v>
      </c>
      <c r="B64" s="67" t="s">
        <v>175</v>
      </c>
      <c r="C64" s="67"/>
      <c r="D64" s="67"/>
      <c r="E64" s="6" t="s">
        <v>8</v>
      </c>
      <c r="F64" s="67" t="s">
        <v>9</v>
      </c>
      <c r="G64" s="67"/>
      <c r="H64" s="67"/>
      <c r="I64" s="8">
        <f>SUM(I66:I67)</f>
        <v>138000</v>
      </c>
    </row>
    <row r="65" spans="1:18" ht="24.6" customHeight="1">
      <c r="A65" s="11" t="s">
        <v>1</v>
      </c>
      <c r="B65" s="11" t="s">
        <v>10</v>
      </c>
      <c r="C65" s="11" t="s">
        <v>11</v>
      </c>
      <c r="D65" s="11" t="s">
        <v>3</v>
      </c>
      <c r="E65" s="11" t="s">
        <v>12</v>
      </c>
      <c r="F65" s="11" t="s">
        <v>4</v>
      </c>
      <c r="G65" s="11" t="s">
        <v>12</v>
      </c>
      <c r="H65" s="11" t="s">
        <v>13</v>
      </c>
      <c r="I65" s="11" t="s">
        <v>6</v>
      </c>
      <c r="K65" s="12" t="s">
        <v>14</v>
      </c>
      <c r="L65" s="12" t="s">
        <v>15</v>
      </c>
      <c r="M65" s="12" t="s">
        <v>16</v>
      </c>
      <c r="N65" s="12" t="s">
        <v>15</v>
      </c>
      <c r="O65" s="12" t="s">
        <v>17</v>
      </c>
      <c r="P65" s="12" t="s">
        <v>15</v>
      </c>
      <c r="Q65" s="12" t="s">
        <v>18</v>
      </c>
    </row>
    <row r="66" spans="1:18" ht="50.25">
      <c r="A66" s="53" t="s">
        <v>176</v>
      </c>
      <c r="B66" s="27" t="s">
        <v>177</v>
      </c>
      <c r="C66" s="27" t="s">
        <v>178</v>
      </c>
      <c r="D66" s="24">
        <v>9</v>
      </c>
      <c r="E66" s="24" t="s">
        <v>179</v>
      </c>
      <c r="F66" s="28">
        <v>12</v>
      </c>
      <c r="G66" s="1" t="s">
        <v>23</v>
      </c>
      <c r="H66" s="29">
        <v>1000</v>
      </c>
      <c r="I66" s="2">
        <f>D66*F66*H66</f>
        <v>108000</v>
      </c>
      <c r="J66" s="64"/>
      <c r="K66" s="26" t="s">
        <v>40</v>
      </c>
      <c r="L66" s="23">
        <v>5980</v>
      </c>
      <c r="M66" s="26"/>
      <c r="N66" s="23"/>
      <c r="O66" s="13"/>
      <c r="P66" s="23"/>
      <c r="Q66" s="14">
        <f>AVERAGE(L66,N66,P66)</f>
        <v>5980</v>
      </c>
    </row>
    <row r="67" spans="1:18" ht="37.5">
      <c r="A67" s="52" t="s">
        <v>180</v>
      </c>
      <c r="B67" s="33" t="s">
        <v>181</v>
      </c>
      <c r="C67" s="33" t="s">
        <v>182</v>
      </c>
      <c r="D67" s="34">
        <v>30</v>
      </c>
      <c r="E67" s="34" t="s">
        <v>183</v>
      </c>
      <c r="F67" s="35">
        <v>1</v>
      </c>
      <c r="G67" s="36" t="s">
        <v>39</v>
      </c>
      <c r="H67" s="37">
        <v>1000</v>
      </c>
      <c r="I67" s="38">
        <f>D67*F67*H67</f>
        <v>30000</v>
      </c>
      <c r="J67" s="64"/>
      <c r="K67" s="51" t="s">
        <v>184</v>
      </c>
      <c r="L67" s="54">
        <v>3227</v>
      </c>
      <c r="M67" s="40" t="s">
        <v>185</v>
      </c>
      <c r="N67" s="41">
        <v>3244</v>
      </c>
      <c r="O67" s="42" t="s">
        <v>186</v>
      </c>
      <c r="P67" s="41">
        <v>3915</v>
      </c>
      <c r="Q67" s="43">
        <f>AVERAGE(L67,N67,P67)</f>
        <v>3462</v>
      </c>
      <c r="R67" s="39"/>
    </row>
    <row r="68" spans="1:18">
      <c r="A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</row>
    <row r="69" spans="1:18">
      <c r="A69" s="44" t="s">
        <v>1</v>
      </c>
      <c r="B69" s="82" t="s">
        <v>2</v>
      </c>
      <c r="C69" s="82"/>
      <c r="D69" s="44" t="s">
        <v>3</v>
      </c>
      <c r="E69" s="44" t="s">
        <v>4</v>
      </c>
      <c r="F69" s="82" t="s">
        <v>5</v>
      </c>
      <c r="G69" s="82"/>
      <c r="H69" s="82"/>
      <c r="I69" s="44" t="s">
        <v>6</v>
      </c>
      <c r="J69" s="39"/>
      <c r="K69" s="39"/>
      <c r="L69" s="39"/>
      <c r="M69" s="39"/>
      <c r="N69" s="39"/>
      <c r="O69" s="39"/>
      <c r="P69" s="39"/>
      <c r="Q69" s="39"/>
      <c r="R69" s="39"/>
    </row>
    <row r="70" spans="1:18" ht="13.15" customHeight="1">
      <c r="A70" s="45">
        <v>8</v>
      </c>
      <c r="B70" s="83" t="s">
        <v>187</v>
      </c>
      <c r="C70" s="83"/>
      <c r="D70" s="83"/>
      <c r="E70" s="45" t="s">
        <v>8</v>
      </c>
      <c r="F70" s="83" t="s">
        <v>9</v>
      </c>
      <c r="G70" s="83"/>
      <c r="H70" s="83"/>
      <c r="I70" s="46">
        <f>SUM(I72:I82)</f>
        <v>33988.959999999999</v>
      </c>
      <c r="J70" s="39"/>
      <c r="K70" s="39"/>
      <c r="L70" s="39"/>
      <c r="M70" s="39"/>
      <c r="N70" s="39"/>
      <c r="O70" s="39"/>
      <c r="P70" s="39"/>
      <c r="Q70" s="39"/>
      <c r="R70" s="39"/>
    </row>
    <row r="71" spans="1:18">
      <c r="A71" s="47" t="s">
        <v>1</v>
      </c>
      <c r="B71" s="47" t="s">
        <v>10</v>
      </c>
      <c r="C71" s="47" t="s">
        <v>11</v>
      </c>
      <c r="D71" s="47" t="s">
        <v>3</v>
      </c>
      <c r="E71" s="47" t="s">
        <v>12</v>
      </c>
      <c r="F71" s="47" t="s">
        <v>4</v>
      </c>
      <c r="G71" s="47" t="s">
        <v>12</v>
      </c>
      <c r="H71" s="47" t="s">
        <v>13</v>
      </c>
      <c r="I71" s="47" t="s">
        <v>6</v>
      </c>
      <c r="J71" s="39"/>
      <c r="K71" s="48" t="s">
        <v>14</v>
      </c>
      <c r="L71" s="48" t="s">
        <v>15</v>
      </c>
      <c r="M71" s="48" t="s">
        <v>16</v>
      </c>
      <c r="N71" s="48" t="s">
        <v>15</v>
      </c>
      <c r="O71" s="48" t="s">
        <v>17</v>
      </c>
      <c r="P71" s="48" t="s">
        <v>15</v>
      </c>
      <c r="Q71" s="48" t="s">
        <v>18</v>
      </c>
      <c r="R71" s="39"/>
    </row>
    <row r="72" spans="1:18" ht="39.6">
      <c r="A72" s="52" t="s">
        <v>188</v>
      </c>
      <c r="B72" s="33" t="s">
        <v>189</v>
      </c>
      <c r="C72" s="33" t="s">
        <v>190</v>
      </c>
      <c r="D72" s="34">
        <v>1</v>
      </c>
      <c r="E72" s="34" t="s">
        <v>191</v>
      </c>
      <c r="F72" s="35">
        <v>1</v>
      </c>
      <c r="G72" s="36" t="s">
        <v>39</v>
      </c>
      <c r="H72" s="37">
        <v>1800</v>
      </c>
      <c r="I72" s="38">
        <f t="shared" ref="I72:I82" si="10">D72*F72*H72</f>
        <v>1800</v>
      </c>
      <c r="J72" s="64"/>
      <c r="K72" s="40" t="s">
        <v>192</v>
      </c>
      <c r="L72" s="41">
        <v>2000</v>
      </c>
      <c r="M72" s="40"/>
      <c r="N72" s="41"/>
      <c r="O72" s="42"/>
      <c r="P72" s="41"/>
      <c r="Q72" s="43">
        <f t="shared" ref="Q72:Q82" si="11">AVERAGE(L72,N72,P72)</f>
        <v>2000</v>
      </c>
      <c r="R72" s="39"/>
    </row>
    <row r="73" spans="1:18" ht="39.6">
      <c r="A73" s="52" t="s">
        <v>193</v>
      </c>
      <c r="B73" s="33" t="s">
        <v>194</v>
      </c>
      <c r="C73" s="33" t="s">
        <v>195</v>
      </c>
      <c r="D73" s="34">
        <v>1</v>
      </c>
      <c r="E73" s="34" t="s">
        <v>191</v>
      </c>
      <c r="F73" s="35">
        <v>1</v>
      </c>
      <c r="G73" s="36" t="s">
        <v>39</v>
      </c>
      <c r="H73" s="37">
        <v>395</v>
      </c>
      <c r="I73" s="38">
        <f t="shared" si="10"/>
        <v>395</v>
      </c>
      <c r="J73" s="64"/>
      <c r="K73" s="40" t="s">
        <v>192</v>
      </c>
      <c r="L73" s="41">
        <v>435</v>
      </c>
      <c r="M73" s="40"/>
      <c r="N73" s="41"/>
      <c r="O73" s="42"/>
      <c r="P73" s="41"/>
      <c r="Q73" s="43">
        <f t="shared" si="11"/>
        <v>435</v>
      </c>
      <c r="R73" s="39"/>
    </row>
    <row r="74" spans="1:18" ht="39.6">
      <c r="A74" s="52" t="s">
        <v>196</v>
      </c>
      <c r="B74" s="33" t="s">
        <v>197</v>
      </c>
      <c r="C74" s="33" t="s">
        <v>198</v>
      </c>
      <c r="D74" s="34">
        <v>1</v>
      </c>
      <c r="E74" s="34" t="s">
        <v>191</v>
      </c>
      <c r="F74" s="35">
        <v>12</v>
      </c>
      <c r="G74" s="36" t="s">
        <v>23</v>
      </c>
      <c r="H74" s="37">
        <v>923.43</v>
      </c>
      <c r="I74" s="38">
        <f t="shared" si="10"/>
        <v>11081.16</v>
      </c>
      <c r="J74" s="64"/>
      <c r="K74" s="84" t="s">
        <v>199</v>
      </c>
      <c r="L74" s="85">
        <v>923.43</v>
      </c>
      <c r="M74" s="40"/>
      <c r="N74" s="41"/>
      <c r="O74" s="42"/>
      <c r="P74" s="41"/>
      <c r="Q74" s="43">
        <f t="shared" si="11"/>
        <v>923.43</v>
      </c>
      <c r="R74" s="39"/>
    </row>
    <row r="75" spans="1:18" ht="46.15" customHeight="1">
      <c r="A75" s="52" t="s">
        <v>200</v>
      </c>
      <c r="B75" s="33" t="s">
        <v>201</v>
      </c>
      <c r="C75" s="33" t="s">
        <v>202</v>
      </c>
      <c r="D75" s="34">
        <v>40</v>
      </c>
      <c r="E75" s="34" t="s">
        <v>191</v>
      </c>
      <c r="F75" s="35">
        <v>1</v>
      </c>
      <c r="G75" s="36" t="s">
        <v>39</v>
      </c>
      <c r="H75" s="37">
        <v>298.45999999999998</v>
      </c>
      <c r="I75" s="38">
        <f t="shared" si="10"/>
        <v>11938.4</v>
      </c>
      <c r="J75" s="64"/>
      <c r="K75" s="84" t="s">
        <v>199</v>
      </c>
      <c r="L75" s="85">
        <v>298.45999999999998</v>
      </c>
      <c r="M75" s="40"/>
      <c r="N75" s="41"/>
      <c r="O75" s="42"/>
      <c r="P75" s="41"/>
      <c r="Q75" s="43">
        <f t="shared" si="11"/>
        <v>298.45999999999998</v>
      </c>
      <c r="R75" s="39"/>
    </row>
    <row r="76" spans="1:18" ht="52.9">
      <c r="A76" s="52" t="s">
        <v>203</v>
      </c>
      <c r="B76" s="33" t="s">
        <v>204</v>
      </c>
      <c r="C76" s="33" t="s">
        <v>205</v>
      </c>
      <c r="D76" s="34">
        <v>40</v>
      </c>
      <c r="E76" s="34" t="s">
        <v>191</v>
      </c>
      <c r="F76" s="35">
        <v>1</v>
      </c>
      <c r="G76" s="36" t="s">
        <v>39</v>
      </c>
      <c r="H76" s="37">
        <v>40.909999999999997</v>
      </c>
      <c r="I76" s="38">
        <f t="shared" si="10"/>
        <v>1636.3999999999999</v>
      </c>
      <c r="J76" s="64"/>
      <c r="K76" s="84" t="s">
        <v>199</v>
      </c>
      <c r="L76" s="85">
        <v>40.909999999999997</v>
      </c>
      <c r="M76" s="40"/>
      <c r="N76" s="41"/>
      <c r="O76" s="42"/>
      <c r="P76" s="41"/>
      <c r="Q76" s="43">
        <f t="shared" si="11"/>
        <v>40.909999999999997</v>
      </c>
      <c r="R76" s="39"/>
    </row>
    <row r="77" spans="1:18" ht="39.6">
      <c r="A77" s="52" t="s">
        <v>206</v>
      </c>
      <c r="B77" s="33" t="s">
        <v>207</v>
      </c>
      <c r="C77" s="33" t="s">
        <v>208</v>
      </c>
      <c r="D77" s="34">
        <v>40</v>
      </c>
      <c r="E77" s="34" t="s">
        <v>191</v>
      </c>
      <c r="F77" s="35">
        <v>1</v>
      </c>
      <c r="G77" s="36" t="s">
        <v>39</v>
      </c>
      <c r="H77" s="37">
        <v>55</v>
      </c>
      <c r="I77" s="38">
        <f t="shared" si="10"/>
        <v>2200</v>
      </c>
      <c r="J77" s="64"/>
      <c r="K77" s="84" t="s">
        <v>209</v>
      </c>
      <c r="L77" s="85">
        <v>55</v>
      </c>
      <c r="M77" s="40"/>
      <c r="N77" s="41"/>
      <c r="O77" s="42"/>
      <c r="P77" s="41"/>
      <c r="Q77" s="43">
        <f t="shared" si="11"/>
        <v>55</v>
      </c>
      <c r="R77" s="39"/>
    </row>
    <row r="78" spans="1:18" ht="39.6">
      <c r="A78" s="52" t="s">
        <v>210</v>
      </c>
      <c r="B78" s="33" t="s">
        <v>211</v>
      </c>
      <c r="C78" s="33" t="s">
        <v>212</v>
      </c>
      <c r="D78" s="34">
        <v>1</v>
      </c>
      <c r="E78" s="34" t="s">
        <v>191</v>
      </c>
      <c r="F78" s="35">
        <v>1</v>
      </c>
      <c r="G78" s="36" t="s">
        <v>39</v>
      </c>
      <c r="H78" s="37">
        <v>438</v>
      </c>
      <c r="I78" s="38">
        <f t="shared" si="10"/>
        <v>438</v>
      </c>
      <c r="J78" s="64"/>
      <c r="K78" s="86" t="s">
        <v>213</v>
      </c>
      <c r="L78" s="87">
        <v>438</v>
      </c>
      <c r="M78" s="40"/>
      <c r="N78" s="41"/>
      <c r="O78" s="42"/>
      <c r="P78" s="41"/>
      <c r="Q78" s="43">
        <f t="shared" si="11"/>
        <v>438</v>
      </c>
      <c r="R78" s="39"/>
    </row>
    <row r="79" spans="1:18" ht="39.6">
      <c r="A79" s="52" t="s">
        <v>214</v>
      </c>
      <c r="B79" s="33" t="s">
        <v>215</v>
      </c>
      <c r="C79" s="33" t="s">
        <v>216</v>
      </c>
      <c r="D79" s="34">
        <v>1</v>
      </c>
      <c r="E79" s="34" t="s">
        <v>191</v>
      </c>
      <c r="F79" s="35">
        <v>1</v>
      </c>
      <c r="G79" s="36" t="s">
        <v>39</v>
      </c>
      <c r="H79" s="37">
        <v>800</v>
      </c>
      <c r="I79" s="38">
        <f t="shared" si="10"/>
        <v>800</v>
      </c>
      <c r="J79" s="64"/>
      <c r="K79" s="84" t="s">
        <v>217</v>
      </c>
      <c r="L79" s="85">
        <v>800</v>
      </c>
      <c r="M79" s="40"/>
      <c r="N79" s="41"/>
      <c r="O79" s="42"/>
      <c r="P79" s="41"/>
      <c r="Q79" s="43">
        <f t="shared" si="11"/>
        <v>800</v>
      </c>
      <c r="R79" s="39"/>
    </row>
    <row r="80" spans="1:18" ht="37.5">
      <c r="A80" s="52" t="s">
        <v>218</v>
      </c>
      <c r="B80" s="33" t="s">
        <v>219</v>
      </c>
      <c r="C80" s="33" t="s">
        <v>220</v>
      </c>
      <c r="D80" s="34">
        <v>1</v>
      </c>
      <c r="E80" s="34" t="s">
        <v>191</v>
      </c>
      <c r="F80" s="35">
        <v>1</v>
      </c>
      <c r="G80" s="36" t="s">
        <v>39</v>
      </c>
      <c r="H80" s="37">
        <v>420</v>
      </c>
      <c r="I80" s="38">
        <f t="shared" si="10"/>
        <v>420</v>
      </c>
      <c r="J80" s="64"/>
      <c r="K80" s="84" t="s">
        <v>217</v>
      </c>
      <c r="L80" s="85">
        <v>420</v>
      </c>
      <c r="M80" s="40"/>
      <c r="N80" s="41"/>
      <c r="O80" s="42"/>
      <c r="P80" s="41"/>
      <c r="Q80" s="43">
        <f t="shared" si="11"/>
        <v>420</v>
      </c>
      <c r="R80" s="39"/>
    </row>
    <row r="81" spans="1:18" ht="39.6">
      <c r="A81" s="52" t="s">
        <v>221</v>
      </c>
      <c r="B81" s="33" t="s">
        <v>222</v>
      </c>
      <c r="C81" s="33" t="s">
        <v>223</v>
      </c>
      <c r="D81" s="34">
        <v>1</v>
      </c>
      <c r="E81" s="34" t="s">
        <v>191</v>
      </c>
      <c r="F81" s="35">
        <v>1</v>
      </c>
      <c r="G81" s="36" t="s">
        <v>39</v>
      </c>
      <c r="H81" s="37">
        <v>2500</v>
      </c>
      <c r="I81" s="38">
        <f t="shared" si="10"/>
        <v>2500</v>
      </c>
      <c r="J81" s="64"/>
      <c r="K81" s="84" t="s">
        <v>224</v>
      </c>
      <c r="L81" s="85">
        <v>2500</v>
      </c>
      <c r="M81" s="40"/>
      <c r="N81" s="41"/>
      <c r="O81" s="42"/>
      <c r="P81" s="41"/>
      <c r="Q81" s="43">
        <f t="shared" si="11"/>
        <v>2500</v>
      </c>
      <c r="R81" s="39"/>
    </row>
    <row r="82" spans="1:18" ht="39.6">
      <c r="A82" s="52" t="s">
        <v>225</v>
      </c>
      <c r="B82" s="33" t="s">
        <v>226</v>
      </c>
      <c r="C82" s="33" t="s">
        <v>227</v>
      </c>
      <c r="D82" s="34">
        <v>1</v>
      </c>
      <c r="E82" s="34" t="s">
        <v>191</v>
      </c>
      <c r="F82" s="35">
        <v>1</v>
      </c>
      <c r="G82" s="36" t="s">
        <v>39</v>
      </c>
      <c r="H82" s="37">
        <v>780</v>
      </c>
      <c r="I82" s="38">
        <f t="shared" si="10"/>
        <v>780</v>
      </c>
      <c r="J82" s="64"/>
      <c r="K82" s="84" t="s">
        <v>224</v>
      </c>
      <c r="L82" s="85">
        <v>780</v>
      </c>
      <c r="M82" s="40"/>
      <c r="N82" s="41"/>
      <c r="O82" s="42"/>
      <c r="P82" s="41"/>
      <c r="Q82" s="43">
        <f t="shared" si="11"/>
        <v>780</v>
      </c>
      <c r="R82" s="39"/>
    </row>
    <row r="83" spans="1:18">
      <c r="A83" s="16"/>
      <c r="B83" s="16"/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</row>
    <row r="84" spans="1:18">
      <c r="A84" s="75" t="s">
        <v>228</v>
      </c>
      <c r="B84" s="75"/>
      <c r="C84" s="75"/>
      <c r="D84" s="75"/>
      <c r="E84" s="75"/>
      <c r="F84" s="75"/>
      <c r="G84" s="75"/>
      <c r="H84" s="75"/>
      <c r="I84" s="25">
        <f>I4+I11+I17+I29+I52+I59+I64+I70</f>
        <v>1136167.8599999999</v>
      </c>
      <c r="J84" s="17"/>
      <c r="K84" s="17"/>
      <c r="L84" s="17"/>
      <c r="M84" s="17"/>
      <c r="N84" s="17"/>
      <c r="O84" s="17"/>
      <c r="P84" s="17"/>
      <c r="Q84" s="17"/>
      <c r="R84" s="17"/>
    </row>
    <row r="85" spans="1:18">
      <c r="A85" s="16"/>
      <c r="B85" s="16"/>
      <c r="C85" s="16"/>
      <c r="D85" s="16"/>
      <c r="E85" s="16"/>
      <c r="F85" s="16"/>
      <c r="G85" s="16"/>
      <c r="H85" s="16"/>
      <c r="I85" s="16" t="s">
        <v>229</v>
      </c>
      <c r="J85" s="16"/>
      <c r="K85" s="16"/>
      <c r="L85" s="16"/>
      <c r="M85" s="16"/>
      <c r="N85" s="16"/>
      <c r="O85" s="16"/>
      <c r="P85" s="16"/>
      <c r="Q85" s="16"/>
      <c r="R85" s="16"/>
    </row>
    <row r="86" spans="1:18">
      <c r="A86" s="69" t="s">
        <v>230</v>
      </c>
      <c r="B86" s="70"/>
      <c r="C86" s="70"/>
      <c r="D86" s="70"/>
      <c r="E86" s="70"/>
      <c r="F86" s="70"/>
      <c r="G86" s="70"/>
      <c r="H86" s="70"/>
      <c r="I86" s="71"/>
      <c r="J86" s="17"/>
      <c r="K86" s="17"/>
      <c r="L86" s="17"/>
      <c r="M86" s="17"/>
      <c r="N86" s="17"/>
      <c r="O86" s="17"/>
      <c r="P86" s="17"/>
      <c r="Q86" s="17"/>
      <c r="R86" s="17"/>
    </row>
    <row r="87" spans="1:18" ht="13.15" customHeight="1">
      <c r="A87" s="72"/>
      <c r="B87" s="73"/>
      <c r="C87" s="73"/>
      <c r="D87" s="73"/>
      <c r="E87" s="73"/>
      <c r="F87" s="73"/>
      <c r="G87" s="73"/>
      <c r="H87" s="73"/>
      <c r="I87" s="74"/>
      <c r="J87" s="17"/>
      <c r="K87" s="17"/>
      <c r="L87" s="17"/>
      <c r="M87" s="17"/>
      <c r="N87" s="17"/>
      <c r="O87" s="17"/>
      <c r="P87" s="17"/>
      <c r="Q87" s="17"/>
      <c r="R87" s="17"/>
    </row>
    <row r="88" spans="1:18">
      <c r="A88" s="10" t="s">
        <v>1</v>
      </c>
      <c r="B88" s="65" t="s">
        <v>2</v>
      </c>
      <c r="C88" s="65"/>
      <c r="D88" s="10" t="s">
        <v>3</v>
      </c>
      <c r="E88" s="10" t="s">
        <v>4</v>
      </c>
      <c r="F88" s="65" t="s">
        <v>5</v>
      </c>
      <c r="G88" s="65"/>
      <c r="H88" s="65"/>
      <c r="I88" s="10" t="s">
        <v>6</v>
      </c>
      <c r="J88" s="17"/>
      <c r="K88" s="17"/>
      <c r="L88" s="17"/>
      <c r="M88" s="17"/>
      <c r="N88" s="17"/>
      <c r="O88" s="17"/>
      <c r="P88" s="17"/>
      <c r="Q88" s="17"/>
      <c r="R88" s="17"/>
    </row>
    <row r="89" spans="1:18">
      <c r="A89" s="5">
        <v>1</v>
      </c>
      <c r="B89" s="66" t="s">
        <v>231</v>
      </c>
      <c r="C89" s="66"/>
      <c r="D89" s="66"/>
      <c r="E89" s="6" t="s">
        <v>8</v>
      </c>
      <c r="F89" s="67" t="s">
        <v>9</v>
      </c>
      <c r="G89" s="67"/>
      <c r="H89" s="67"/>
      <c r="I89" s="7">
        <f>SUM(I91:I92)</f>
        <v>110400</v>
      </c>
      <c r="J89" s="17"/>
      <c r="K89" s="17"/>
      <c r="L89" s="17"/>
      <c r="M89" s="17"/>
      <c r="N89" s="17"/>
      <c r="O89" s="17"/>
      <c r="P89" s="17"/>
      <c r="Q89" s="17"/>
      <c r="R89" s="17"/>
    </row>
    <row r="90" spans="1:18" ht="25.15" customHeight="1">
      <c r="A90" s="18" t="s">
        <v>1</v>
      </c>
      <c r="B90" s="18" t="s">
        <v>10</v>
      </c>
      <c r="C90" s="18" t="s">
        <v>11</v>
      </c>
      <c r="D90" s="18" t="s">
        <v>3</v>
      </c>
      <c r="E90" s="11" t="s">
        <v>12</v>
      </c>
      <c r="F90" s="11" t="s">
        <v>4</v>
      </c>
      <c r="G90" s="11" t="s">
        <v>12</v>
      </c>
      <c r="H90" s="11" t="s">
        <v>13</v>
      </c>
      <c r="I90" s="11" t="s">
        <v>6</v>
      </c>
      <c r="K90" s="12" t="s">
        <v>14</v>
      </c>
      <c r="L90" s="12" t="s">
        <v>15</v>
      </c>
      <c r="M90" s="12" t="s">
        <v>16</v>
      </c>
      <c r="N90" s="12" t="s">
        <v>15</v>
      </c>
      <c r="O90" s="12" t="s">
        <v>17</v>
      </c>
      <c r="P90" s="12" t="s">
        <v>15</v>
      </c>
      <c r="Q90" s="12" t="s">
        <v>18</v>
      </c>
    </row>
    <row r="91" spans="1:18" ht="75">
      <c r="A91" s="53" t="s">
        <v>19</v>
      </c>
      <c r="B91" s="27" t="s">
        <v>232</v>
      </c>
      <c r="C91" s="27" t="s">
        <v>233</v>
      </c>
      <c r="D91" s="24">
        <v>1</v>
      </c>
      <c r="E91" s="24" t="s">
        <v>234</v>
      </c>
      <c r="F91" s="28">
        <v>12</v>
      </c>
      <c r="G91" s="1" t="s">
        <v>235</v>
      </c>
      <c r="H91" s="29">
        <v>1200</v>
      </c>
      <c r="I91" s="2">
        <f t="shared" ref="I91" si="12">D91*F91*H91</f>
        <v>14400</v>
      </c>
      <c r="J91" s="64"/>
      <c r="K91" s="26" t="s">
        <v>40</v>
      </c>
      <c r="L91" s="23">
        <v>4932.67</v>
      </c>
      <c r="M91" s="26"/>
      <c r="N91" s="23"/>
      <c r="O91" s="13"/>
      <c r="P91" s="23"/>
      <c r="Q91" s="14">
        <f>AVERAGE(L91,N91,P91)</f>
        <v>4932.67</v>
      </c>
    </row>
    <row r="92" spans="1:18" ht="50.25">
      <c r="A92" s="57" t="s">
        <v>25</v>
      </c>
      <c r="B92" s="57" t="s">
        <v>236</v>
      </c>
      <c r="C92" s="57" t="s">
        <v>237</v>
      </c>
      <c r="D92" s="58">
        <v>1</v>
      </c>
      <c r="E92" s="58" t="s">
        <v>234</v>
      </c>
      <c r="F92" s="59">
        <v>12</v>
      </c>
      <c r="G92" s="60" t="s">
        <v>235</v>
      </c>
      <c r="H92" s="61">
        <v>8000</v>
      </c>
      <c r="I92" s="62">
        <f>D92*F92*H92</f>
        <v>96000</v>
      </c>
      <c r="J92" s="64"/>
      <c r="K92" s="26" t="s">
        <v>40</v>
      </c>
      <c r="L92" s="23">
        <v>19875.330000000002</v>
      </c>
      <c r="M92" s="26"/>
      <c r="N92" s="23"/>
      <c r="O92" s="13"/>
      <c r="P92" s="23"/>
      <c r="Q92" s="14">
        <f>AVERAGE(L92,N92,P92)</f>
        <v>19875.330000000002</v>
      </c>
    </row>
    <row r="93" spans="1:18">
      <c r="A93" s="16"/>
      <c r="B93" s="16"/>
      <c r="C93" s="16"/>
      <c r="D93" s="16"/>
      <c r="E93" s="16"/>
      <c r="F93" s="16"/>
      <c r="G93" s="16"/>
      <c r="H93" s="16"/>
      <c r="I93" s="16"/>
      <c r="J93" s="16"/>
      <c r="R93" s="16"/>
    </row>
    <row r="94" spans="1:18">
      <c r="A94" s="10" t="s">
        <v>1</v>
      </c>
      <c r="B94" s="65" t="s">
        <v>2</v>
      </c>
      <c r="C94" s="65"/>
      <c r="D94" s="10" t="s">
        <v>3</v>
      </c>
      <c r="E94" s="10" t="s">
        <v>4</v>
      </c>
      <c r="F94" s="65" t="s">
        <v>5</v>
      </c>
      <c r="G94" s="65"/>
      <c r="H94" s="65"/>
      <c r="I94" s="10" t="s">
        <v>6</v>
      </c>
    </row>
    <row r="95" spans="1:18" ht="14.45" customHeight="1">
      <c r="A95" s="6">
        <v>2</v>
      </c>
      <c r="B95" s="67" t="s">
        <v>238</v>
      </c>
      <c r="C95" s="67"/>
      <c r="D95" s="67"/>
      <c r="E95" s="6" t="s">
        <v>8</v>
      </c>
      <c r="F95" s="67" t="s">
        <v>9</v>
      </c>
      <c r="G95" s="67"/>
      <c r="H95" s="67"/>
      <c r="I95" s="7">
        <f>SUM(I97:I97)</f>
        <v>1410</v>
      </c>
    </row>
    <row r="96" spans="1:18" ht="22.15" customHeight="1">
      <c r="A96" s="11" t="s">
        <v>1</v>
      </c>
      <c r="B96" s="11" t="s">
        <v>10</v>
      </c>
      <c r="C96" s="11" t="s">
        <v>11</v>
      </c>
      <c r="D96" s="11" t="s">
        <v>3</v>
      </c>
      <c r="E96" s="11" t="s">
        <v>12</v>
      </c>
      <c r="F96" s="11" t="s">
        <v>4</v>
      </c>
      <c r="G96" s="11" t="s">
        <v>12</v>
      </c>
      <c r="H96" s="11" t="s">
        <v>13</v>
      </c>
      <c r="I96" s="11" t="s">
        <v>6</v>
      </c>
      <c r="K96" s="12" t="s">
        <v>14</v>
      </c>
      <c r="L96" s="12" t="s">
        <v>15</v>
      </c>
      <c r="M96" s="12" t="s">
        <v>16</v>
      </c>
      <c r="N96" s="12" t="s">
        <v>15</v>
      </c>
      <c r="O96" s="12" t="s">
        <v>17</v>
      </c>
      <c r="P96" s="12" t="s">
        <v>15</v>
      </c>
      <c r="Q96" s="12" t="s">
        <v>18</v>
      </c>
    </row>
    <row r="97" spans="1:18" ht="62.25">
      <c r="A97" s="53" t="s">
        <v>35</v>
      </c>
      <c r="B97" s="27" t="s">
        <v>239</v>
      </c>
      <c r="C97" s="27" t="s">
        <v>240</v>
      </c>
      <c r="D97" s="24">
        <v>10</v>
      </c>
      <c r="E97" s="24" t="s">
        <v>12</v>
      </c>
      <c r="F97" s="28">
        <v>1</v>
      </c>
      <c r="G97" s="1" t="s">
        <v>39</v>
      </c>
      <c r="H97" s="29">
        <v>141</v>
      </c>
      <c r="I97" s="2">
        <f>D97*F97*H97</f>
        <v>1410</v>
      </c>
      <c r="J97" s="64"/>
      <c r="K97" s="26" t="s">
        <v>40</v>
      </c>
      <c r="L97" s="23">
        <v>301.67</v>
      </c>
      <c r="M97" s="26"/>
      <c r="N97" s="23"/>
      <c r="O97" s="13"/>
      <c r="P97" s="23"/>
      <c r="Q97" s="14">
        <f>AVERAGE(L97,N97,P97)</f>
        <v>301.67</v>
      </c>
    </row>
    <row r="98" spans="1:18">
      <c r="A98" s="16"/>
      <c r="B98" s="16"/>
      <c r="C98" s="16"/>
      <c r="D98" s="16"/>
      <c r="E98" s="16"/>
      <c r="F98" s="16"/>
      <c r="G98" s="16"/>
      <c r="H98" s="16"/>
      <c r="I98" s="16"/>
      <c r="J98" s="16"/>
      <c r="K98" s="19"/>
      <c r="L98" s="19"/>
      <c r="M98" s="19"/>
      <c r="N98" s="19"/>
      <c r="O98" s="19"/>
      <c r="P98" s="19"/>
      <c r="Q98" s="19"/>
      <c r="R98" s="16"/>
    </row>
    <row r="99" spans="1:18">
      <c r="A99" s="78" t="s">
        <v>241</v>
      </c>
      <c r="B99" s="79"/>
      <c r="C99" s="79"/>
      <c r="D99" s="79"/>
      <c r="E99" s="79"/>
      <c r="F99" s="79"/>
      <c r="G99" s="79"/>
      <c r="H99" s="79"/>
      <c r="I99" s="3">
        <f>SUM(I89,I95)</f>
        <v>111810</v>
      </c>
      <c r="J99" s="19">
        <f>I99/I84</f>
        <v>9.8409754347390188E-2</v>
      </c>
      <c r="K99" s="20"/>
      <c r="L99" s="20"/>
      <c r="M99" s="20"/>
      <c r="N99" s="20"/>
      <c r="O99" s="20"/>
      <c r="P99" s="20"/>
      <c r="Q99" s="20"/>
      <c r="R99" s="19"/>
    </row>
    <row r="100" spans="1:18" ht="16.899999999999999" customHeight="1">
      <c r="A100" s="76" t="s">
        <v>242</v>
      </c>
      <c r="B100" s="77"/>
      <c r="C100" s="77"/>
      <c r="D100" s="77"/>
      <c r="E100" s="77"/>
      <c r="F100" s="77"/>
      <c r="G100" s="77"/>
      <c r="H100" s="77"/>
      <c r="I100" s="4">
        <f>I99+I84</f>
        <v>1247977.8599999999</v>
      </c>
      <c r="J100" s="20"/>
      <c r="K100" s="21"/>
      <c r="L100" s="21"/>
      <c r="M100" s="21"/>
      <c r="N100" s="21"/>
      <c r="O100" s="21"/>
      <c r="P100" s="21"/>
      <c r="Q100" s="21"/>
      <c r="R100" s="20"/>
    </row>
    <row r="101" spans="1:18" ht="15.6" customHeight="1">
      <c r="A101" s="80" t="s">
        <v>243</v>
      </c>
      <c r="B101" s="81"/>
      <c r="C101" s="81"/>
      <c r="D101" s="81"/>
      <c r="E101" s="81"/>
      <c r="F101" s="81"/>
      <c r="G101" s="81"/>
      <c r="H101" s="81"/>
      <c r="I101" s="4">
        <f>IF((I100*5%)&gt;100000,100000,(I100*5%))</f>
        <v>62398.892999999996</v>
      </c>
      <c r="J101" s="21">
        <f>I101/I100</f>
        <v>0.05</v>
      </c>
      <c r="R101" s="21"/>
    </row>
    <row r="102" spans="1:18" ht="12.6" customHeight="1">
      <c r="A102" s="76" t="s">
        <v>244</v>
      </c>
      <c r="B102" s="77"/>
      <c r="C102" s="77"/>
      <c r="D102" s="77"/>
      <c r="E102" s="77"/>
      <c r="F102" s="77"/>
      <c r="G102" s="77"/>
      <c r="H102" s="77"/>
      <c r="I102" s="4">
        <f>I100+I101</f>
        <v>1310376.7529999998</v>
      </c>
      <c r="K102" s="20"/>
      <c r="L102" s="20"/>
      <c r="M102" s="20"/>
      <c r="N102" s="20"/>
      <c r="O102" s="20"/>
      <c r="P102" s="20"/>
      <c r="Q102" s="20"/>
    </row>
    <row r="103" spans="1:18" ht="40.15" customHeight="1">
      <c r="J103" s="20"/>
      <c r="R103" s="20"/>
    </row>
    <row r="104" spans="1:18" ht="40.15" customHeight="1">
      <c r="I104" s="22"/>
      <c r="K104" s="31"/>
      <c r="L104" s="31"/>
      <c r="M104" s="31"/>
      <c r="N104" s="31"/>
      <c r="O104" s="31"/>
      <c r="P104" s="31"/>
      <c r="Q104" s="31"/>
    </row>
    <row r="105" spans="1:18" ht="40.9" customHeight="1">
      <c r="H105" t="s">
        <v>245</v>
      </c>
      <c r="I105" s="30">
        <f>I102-I92-I61</f>
        <v>1118376.7529999998</v>
      </c>
      <c r="J105" s="31"/>
      <c r="K105" s="63"/>
      <c r="L105" s="63"/>
      <c r="M105" s="63"/>
      <c r="N105" s="63"/>
      <c r="O105" s="63"/>
      <c r="P105" s="63"/>
      <c r="Q105" s="63"/>
      <c r="R105" s="31"/>
    </row>
    <row r="106" spans="1:18" ht="14.45">
      <c r="H106" t="s">
        <v>246</v>
      </c>
      <c r="I106" s="30">
        <f>SUM(I92,I61)</f>
        <v>192000</v>
      </c>
      <c r="J106" s="63">
        <f>I106/I102</f>
        <v>0.14652274589001354</v>
      </c>
      <c r="R106" s="63"/>
    </row>
    <row r="110" spans="1:18" s="17" customFormat="1" ht="15" customHeight="1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</row>
    <row r="112" spans="1:18" s="17" customFormat="1" ht="20.25" customHeight="1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</row>
    <row r="113" spans="1:18" s="17" customFormat="1" ht="0.6" customHeight="1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</row>
    <row r="114" spans="1:18" s="17" customFormat="1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</row>
    <row r="115" spans="1:18" s="17" customFormat="1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</row>
    <row r="121" spans="1:18" ht="17.25" customHeight="1"/>
    <row r="124" spans="1:18" ht="73.900000000000006" customHeight="1"/>
    <row r="127" spans="1:18" s="20" customFormat="1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</row>
    <row r="128" spans="1:18" s="20" customFormat="1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</row>
    <row r="130" spans="1:18" s="20" customFormat="1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</row>
  </sheetData>
  <mergeCells count="47">
    <mergeCell ref="B58:C58"/>
    <mergeCell ref="F58:H58"/>
    <mergeCell ref="B89:D89"/>
    <mergeCell ref="F89:H89"/>
    <mergeCell ref="B88:C88"/>
    <mergeCell ref="F88:H88"/>
    <mergeCell ref="B69:C69"/>
    <mergeCell ref="F69:H69"/>
    <mergeCell ref="B70:D70"/>
    <mergeCell ref="F70:H70"/>
    <mergeCell ref="B94:C94"/>
    <mergeCell ref="F94:H94"/>
    <mergeCell ref="A102:H102"/>
    <mergeCell ref="B95:D95"/>
    <mergeCell ref="F95:H95"/>
    <mergeCell ref="A99:H99"/>
    <mergeCell ref="A100:H100"/>
    <mergeCell ref="A101:H101"/>
    <mergeCell ref="B28:C28"/>
    <mergeCell ref="F28:H28"/>
    <mergeCell ref="A86:I87"/>
    <mergeCell ref="A84:H84"/>
    <mergeCell ref="B63:C63"/>
    <mergeCell ref="F63:H63"/>
    <mergeCell ref="B64:D64"/>
    <mergeCell ref="F64:H64"/>
    <mergeCell ref="B59:D59"/>
    <mergeCell ref="F59:H59"/>
    <mergeCell ref="B51:C51"/>
    <mergeCell ref="F51:H51"/>
    <mergeCell ref="B29:D29"/>
    <mergeCell ref="F29:H29"/>
    <mergeCell ref="B52:D52"/>
    <mergeCell ref="F52:H52"/>
    <mergeCell ref="B3:C3"/>
    <mergeCell ref="F3:H3"/>
    <mergeCell ref="B4:D4"/>
    <mergeCell ref="F4:H4"/>
    <mergeCell ref="A1:I2"/>
    <mergeCell ref="B10:C10"/>
    <mergeCell ref="F10:H10"/>
    <mergeCell ref="B11:D11"/>
    <mergeCell ref="F11:H11"/>
    <mergeCell ref="B17:D17"/>
    <mergeCell ref="F17:H17"/>
    <mergeCell ref="B16:C16"/>
    <mergeCell ref="F16:H16"/>
  </mergeCells>
  <phoneticPr fontId="2" type="noConversion"/>
  <pageMargins left="0.25" right="0.25" top="0.75" bottom="0.75" header="0.3" footer="0.3"/>
  <pageSetup paperSize="9" scale="89" fitToHeight="0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4596B64C484D941A878D3D4FEC3FDED" ma:contentTypeVersion="21" ma:contentTypeDescription="Create a new document." ma:contentTypeScope="" ma:versionID="1cf911299d03c8ad61e78b6ba7685c09">
  <xsd:schema xmlns:xsd="http://www.w3.org/2001/XMLSchema" xmlns:xs="http://www.w3.org/2001/XMLSchema" xmlns:p="http://schemas.microsoft.com/office/2006/metadata/properties" xmlns:ns2="015bfc34-dd5d-4167-8874-5af8a2707fdd" xmlns:ns3="cc70379c-9cd0-449b-81ca-5ec782c703ec" targetNamespace="http://schemas.microsoft.com/office/2006/metadata/properties" ma:root="true" ma:fieldsID="46e35d4e2bcdb7cd970643f637f733ef" ns2:_="" ns3:_="">
    <xsd:import namespace="015bfc34-dd5d-4167-8874-5af8a2707fdd"/>
    <xsd:import namespace="cc70379c-9cd0-449b-81ca-5ec782c703ec"/>
    <xsd:element name="properties">
      <xsd:complexType>
        <xsd:sequence>
          <xsd:element name="documentManagement">
            <xsd:complexType>
              <xsd:all>
                <xsd:element ref="ns2:MigrationWizId" minOccurs="0"/>
                <xsd:element ref="ns2:MigrationWizIdPermissions" minOccurs="0"/>
                <xsd:element ref="ns2:MigrationWizIdVersion" minOccurs="0"/>
                <xsd:element ref="ns2:lcf76f155ced4ddcb4097134ff3c332f0" minOccurs="0"/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_Flow_SignoffStatu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5bfc34-dd5d-4167-8874-5af8a2707fdd" elementFormDefault="qualified">
    <xsd:import namespace="http://schemas.microsoft.com/office/2006/documentManagement/types"/>
    <xsd:import namespace="http://schemas.microsoft.com/office/infopath/2007/PartnerControls"/>
    <xsd:element name="MigrationWizId" ma:index="8" nillable="true" ma:displayName="MigrationWizId" ma:internalName="MigrationWizId">
      <xsd:simpleType>
        <xsd:restriction base="dms:Text"/>
      </xsd:simpleType>
    </xsd:element>
    <xsd:element name="MigrationWizIdPermissions" ma:index="9" nillable="true" ma:displayName="MigrationWizIdPermissions" ma:internalName="MigrationWizIdPermissions">
      <xsd:simpleType>
        <xsd:restriction base="dms:Text"/>
      </xsd:simpleType>
    </xsd:element>
    <xsd:element name="MigrationWizIdVersion" ma:index="10" nillable="true" ma:displayName="MigrationWizIdVersion" ma:internalName="MigrationWizIdVersion">
      <xsd:simpleType>
        <xsd:restriction base="dms:Text"/>
      </xsd:simpleType>
    </xsd:element>
    <xsd:element name="lcf76f155ced4ddcb4097134ff3c332f0" ma:index="11" nillable="true" ma:displayName="Image Tags_0" ma:hidden="true" ma:internalName="lcf76f155ced4ddcb4097134ff3c332f0" ma:readOnly="false">
      <xsd:simpleType>
        <xsd:restriction base="dms:Note"/>
      </xsd:simpleType>
    </xsd:element>
    <xsd:element name="MediaServiceMetadata" ma:index="12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3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4e6a72c3-422d-4083-8401-7b3852ad686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0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27" nillable="true" ma:displayName="Sign-off status" ma:internalName="Sign_x002d_off_x0020_status">
      <xsd:simpleType>
        <xsd:restriction base="dms:Text"/>
      </xsd:simpleType>
    </xsd:element>
    <xsd:element name="MediaServiceBillingMetadata" ma:index="28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c70379c-9cd0-449b-81ca-5ec782c703ec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a08db0a1-eda0-49a3-89f9-957a12777e7f}" ma:internalName="TaxCatchAll" ma:showField="CatchAllData" ma:web="cc70379c-9cd0-449b-81ca-5ec782c703e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c70379c-9cd0-449b-81ca-5ec782c703ec" xsi:nil="true"/>
    <lcf76f155ced4ddcb4097134ff3c332f xmlns="015bfc34-dd5d-4167-8874-5af8a2707fdd">
      <Terms xmlns="http://schemas.microsoft.com/office/infopath/2007/PartnerControls"/>
    </lcf76f155ced4ddcb4097134ff3c332f>
    <lcf76f155ced4ddcb4097134ff3c332f0 xmlns="015bfc34-dd5d-4167-8874-5af8a2707fdd" xsi:nil="true"/>
    <MigrationWizIdVersion xmlns="015bfc34-dd5d-4167-8874-5af8a2707fdd">8ff7558d-3f7f-4826-bf20-fd72bfbc0d80-638031021320000000</MigrationWizIdVersion>
    <MigrationWizIdPermissions xmlns="015bfc34-dd5d-4167-8874-5af8a2707fdd" xsi:nil="true"/>
    <MigrationWizId xmlns="015bfc34-dd5d-4167-8874-5af8a2707fdd">8ff7558d-3f7f-4826-bf20-fd72bfbc0d80</MigrationWizId>
    <_Flow_SignoffStatus xmlns="015bfc34-dd5d-4167-8874-5af8a2707fdd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B1144C3-1608-4B3B-91F7-5138C693DBE4}"/>
</file>

<file path=customXml/itemProps2.xml><?xml version="1.0" encoding="utf-8"?>
<ds:datastoreItem xmlns:ds="http://schemas.openxmlformats.org/officeDocument/2006/customXml" ds:itemID="{0B6EB27A-2DFA-4F52-A11F-24DD5F40D5F5}"/>
</file>

<file path=customXml/itemProps3.xml><?xml version="1.0" encoding="utf-8"?>
<ds:datastoreItem xmlns:ds="http://schemas.openxmlformats.org/officeDocument/2006/customXml" ds:itemID="{4A9770B6-DBF1-4CC4-85EE-3D6FA2C8C14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X3M</dc:creator>
  <cp:keywords/>
  <dc:description/>
  <cp:lastModifiedBy>Thiago Cirele</cp:lastModifiedBy>
  <cp:revision/>
  <dcterms:created xsi:type="dcterms:W3CDTF">2013-05-20T19:25:05Z</dcterms:created>
  <dcterms:modified xsi:type="dcterms:W3CDTF">2026-01-16T17:29:58Z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0x01010014596B64C484D941A878D3D4FEC3FDED</vt:lpwstr>
  </property>
  <property fmtid="{D5CDD505-2E9C-101B-9397-08002B2CF9AE}" pid="3" name="MediaServiceImageTags">
    <vt:lpwstr/>
  </property>
</Properties>
</file>